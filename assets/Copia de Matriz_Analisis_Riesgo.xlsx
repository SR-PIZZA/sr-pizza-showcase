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teaml\OneDrive\Escritorio\Proyecto seguridad de la información\"/>
    </mc:Choice>
  </mc:AlternateContent>
  <xr:revisionPtr revIDLastSave="0" documentId="8_{79CB20F7-1B6C-4190-8281-99AD4572CF90}" xr6:coauthVersionLast="47" xr6:coauthVersionMax="47" xr10:uidLastSave="{00000000-0000-0000-0000-000000000000}"/>
  <bookViews>
    <workbookView xWindow="-108" yWindow="-108" windowWidth="23256" windowHeight="12456" tabRatio="513" activeTab="5" xr2:uid="{00000000-000D-0000-FFFF-FFFF00000000}"/>
  </bookViews>
  <sheets>
    <sheet name="1_Datos" sheetId="1" r:id="rId1"/>
    <sheet name="2_Sistemas" sheetId="2" r:id="rId2"/>
    <sheet name="3_Personal" sheetId="3" r:id="rId3"/>
    <sheet name="Analisis_Promedio" sheetId="4" r:id="rId4"/>
    <sheet name="Analisis_Factores" sheetId="5" r:id="rId5"/>
    <sheet name="Fuente" sheetId="6" r:id="rId6"/>
  </sheets>
  <definedNames>
    <definedName name="Escala">Fuente!$B$2:$B$5</definedName>
    <definedName name="Valor_max">Fuente!$D$2:$D$5</definedName>
    <definedName name="Valor_min">Fuente!$C$2:$C$5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2" i="2"/>
  <c r="F5" i="1"/>
  <c r="G5" i="1"/>
  <c r="H5" i="1"/>
  <c r="I5" i="1"/>
  <c r="J5" i="1"/>
  <c r="K5" i="1"/>
  <c r="L5" i="1"/>
  <c r="M5" i="1"/>
  <c r="N5" i="1"/>
  <c r="O5" i="1"/>
  <c r="P5" i="1"/>
  <c r="Q5" i="1"/>
  <c r="R5" i="1"/>
  <c r="D5" i="4" s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A1" i="2"/>
  <c r="F1" i="2"/>
  <c r="B2" i="2"/>
  <c r="F2" i="2"/>
  <c r="S2" i="2"/>
  <c r="AB2" i="2"/>
  <c r="D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F4" i="2"/>
  <c r="G4" i="2"/>
  <c r="H4" i="2"/>
  <c r="H5" i="2" s="1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F5" i="2"/>
  <c r="G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F6" i="2"/>
  <c r="G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F7" i="2"/>
  <c r="G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F8" i="2"/>
  <c r="G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F9" i="2"/>
  <c r="G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F10" i="2"/>
  <c r="G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F11" i="2"/>
  <c r="G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F12" i="2"/>
  <c r="G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F13" i="2"/>
  <c r="G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F14" i="2"/>
  <c r="G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F15" i="2"/>
  <c r="G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F16" i="2"/>
  <c r="G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F17" i="2"/>
  <c r="G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F18" i="2"/>
  <c r="G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F19" i="2"/>
  <c r="G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F20" i="2"/>
  <c r="G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A1" i="3"/>
  <c r="F1" i="3"/>
  <c r="B2" i="3"/>
  <c r="F2" i="3"/>
  <c r="S2" i="3"/>
  <c r="AB2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4" i="3"/>
  <c r="C4" i="3"/>
  <c r="D4" i="3"/>
  <c r="F4" i="3"/>
  <c r="G4" i="3"/>
  <c r="H4" i="3"/>
  <c r="I4" i="3"/>
  <c r="J4" i="3"/>
  <c r="J7" i="3" s="1"/>
  <c r="K4" i="3"/>
  <c r="L4" i="3"/>
  <c r="M4" i="3"/>
  <c r="N4" i="3"/>
  <c r="O4" i="3"/>
  <c r="P4" i="3"/>
  <c r="Q4" i="3"/>
  <c r="R4" i="3"/>
  <c r="R8" i="3" s="1"/>
  <c r="S4" i="3"/>
  <c r="T4" i="3"/>
  <c r="U4" i="3"/>
  <c r="U9" i="3" s="1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I5" i="3" s="1"/>
  <c r="AJ4" i="3"/>
  <c r="AK4" i="3"/>
  <c r="AL4" i="3"/>
  <c r="AM4" i="3"/>
  <c r="AM5" i="3" s="1"/>
  <c r="AN4" i="3"/>
  <c r="AO4" i="3"/>
  <c r="AP4" i="3"/>
  <c r="AQ4" i="3"/>
  <c r="AR4" i="3"/>
  <c r="AR6" i="3" s="1"/>
  <c r="AS4" i="3"/>
  <c r="AS7" i="3" s="1"/>
  <c r="AT4" i="3"/>
  <c r="AU4" i="3"/>
  <c r="AU8" i="3" s="1"/>
  <c r="AV4" i="3"/>
  <c r="AV9" i="3" s="1"/>
  <c r="AW4" i="3"/>
  <c r="AX4" i="3"/>
  <c r="AX10" i="3" s="1"/>
  <c r="AY4" i="3"/>
  <c r="AY11" i="3" s="1"/>
  <c r="AZ4" i="3"/>
  <c r="BA4" i="3"/>
  <c r="BA5" i="3" s="1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J5" i="3"/>
  <c r="AK5" i="3"/>
  <c r="AL5" i="3"/>
  <c r="AN5" i="3"/>
  <c r="AO5" i="3"/>
  <c r="AP5" i="3"/>
  <c r="AQ5" i="3"/>
  <c r="AR5" i="3"/>
  <c r="AS5" i="3"/>
  <c r="AT5" i="3"/>
  <c r="AU5" i="3"/>
  <c r="AV5" i="3"/>
  <c r="AW5" i="3"/>
  <c r="AX5" i="3"/>
  <c r="AZ5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N6" i="3"/>
  <c r="AO6" i="3"/>
  <c r="AP6" i="3"/>
  <c r="AQ6" i="3"/>
  <c r="AS6" i="3"/>
  <c r="AT6" i="3"/>
  <c r="AU6" i="3"/>
  <c r="AV6" i="3"/>
  <c r="AW6" i="3"/>
  <c r="AX6" i="3"/>
  <c r="AY6" i="3"/>
  <c r="AZ6" i="3"/>
  <c r="F7" i="3"/>
  <c r="G7" i="3"/>
  <c r="H7" i="3"/>
  <c r="I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N7" i="3"/>
  <c r="AO7" i="3"/>
  <c r="AP7" i="3"/>
  <c r="AQ7" i="3"/>
  <c r="AR7" i="3"/>
  <c r="AT7" i="3"/>
  <c r="AU7" i="3"/>
  <c r="AV7" i="3"/>
  <c r="AW7" i="3"/>
  <c r="AX7" i="3"/>
  <c r="AY7" i="3"/>
  <c r="AZ7" i="3"/>
  <c r="F8" i="3"/>
  <c r="G8" i="3"/>
  <c r="H8" i="3"/>
  <c r="I8" i="3"/>
  <c r="J8" i="3"/>
  <c r="K8" i="3"/>
  <c r="L8" i="3"/>
  <c r="M8" i="3"/>
  <c r="N8" i="3"/>
  <c r="O8" i="3"/>
  <c r="P8" i="3"/>
  <c r="Q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N8" i="3"/>
  <c r="AO8" i="3"/>
  <c r="AP8" i="3"/>
  <c r="AQ8" i="3"/>
  <c r="AT8" i="3"/>
  <c r="AV8" i="3"/>
  <c r="AW8" i="3"/>
  <c r="AX8" i="3"/>
  <c r="AY8" i="3"/>
  <c r="AZ8" i="3"/>
  <c r="F9" i="3"/>
  <c r="G9" i="3"/>
  <c r="H9" i="3"/>
  <c r="I9" i="3"/>
  <c r="K9" i="3"/>
  <c r="L9" i="3"/>
  <c r="M9" i="3"/>
  <c r="N9" i="3"/>
  <c r="O9" i="3"/>
  <c r="P9" i="3"/>
  <c r="Q9" i="3"/>
  <c r="S9" i="3"/>
  <c r="T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N9" i="3"/>
  <c r="AO9" i="3"/>
  <c r="AP9" i="3"/>
  <c r="AQ9" i="3"/>
  <c r="AR9" i="3"/>
  <c r="AS9" i="3"/>
  <c r="AT9" i="3"/>
  <c r="AU9" i="3"/>
  <c r="AW9" i="3"/>
  <c r="AX9" i="3"/>
  <c r="AY9" i="3"/>
  <c r="AZ9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N10" i="3"/>
  <c r="AO10" i="3"/>
  <c r="AP10" i="3"/>
  <c r="AQ10" i="3"/>
  <c r="AS10" i="3"/>
  <c r="AT10" i="3"/>
  <c r="AU10" i="3"/>
  <c r="AW10" i="3"/>
  <c r="AY10" i="3"/>
  <c r="AZ10" i="3"/>
  <c r="F11" i="3"/>
  <c r="G11" i="3"/>
  <c r="H11" i="3"/>
  <c r="I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N11" i="3"/>
  <c r="AO11" i="3"/>
  <c r="AP11" i="3"/>
  <c r="AQ11" i="3"/>
  <c r="AR11" i="3"/>
  <c r="AT11" i="3"/>
  <c r="AU11" i="3"/>
  <c r="AW11" i="3"/>
  <c r="AX11" i="3"/>
  <c r="AZ11" i="3"/>
  <c r="F12" i="3"/>
  <c r="G12" i="3"/>
  <c r="H12" i="3"/>
  <c r="I12" i="3"/>
  <c r="J12" i="3"/>
  <c r="K12" i="3"/>
  <c r="L12" i="3"/>
  <c r="M12" i="3"/>
  <c r="N12" i="3"/>
  <c r="O12" i="3"/>
  <c r="P12" i="3"/>
  <c r="Q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N12" i="3"/>
  <c r="AO12" i="3"/>
  <c r="AP12" i="3"/>
  <c r="AQ12" i="3"/>
  <c r="AT12" i="3"/>
  <c r="AU12" i="3"/>
  <c r="AV12" i="3"/>
  <c r="AW12" i="3"/>
  <c r="AX12" i="3"/>
  <c r="AY12" i="3"/>
  <c r="AZ12" i="3"/>
  <c r="F13" i="3"/>
  <c r="G13" i="3"/>
  <c r="H13" i="3"/>
  <c r="I13" i="3"/>
  <c r="J13" i="3"/>
  <c r="K13" i="3"/>
  <c r="L13" i="3"/>
  <c r="M13" i="3"/>
  <c r="N13" i="3"/>
  <c r="O13" i="3"/>
  <c r="P13" i="3"/>
  <c r="Q13" i="3"/>
  <c r="S13" i="3"/>
  <c r="T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N13" i="3"/>
  <c r="AO13" i="3"/>
  <c r="AP13" i="3"/>
  <c r="AQ13" i="3"/>
  <c r="AR13" i="3"/>
  <c r="AS13" i="3"/>
  <c r="AT13" i="3"/>
  <c r="AU13" i="3"/>
  <c r="AW13" i="3"/>
  <c r="AY13" i="3"/>
  <c r="AZ13" i="3"/>
  <c r="F14" i="3"/>
  <c r="G14" i="3"/>
  <c r="H14" i="3"/>
  <c r="I14" i="3"/>
  <c r="K14" i="3"/>
  <c r="L14" i="3"/>
  <c r="M14" i="3"/>
  <c r="N14" i="3"/>
  <c r="O14" i="3"/>
  <c r="P14" i="3"/>
  <c r="Q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N14" i="3"/>
  <c r="AO14" i="3"/>
  <c r="AP14" i="3"/>
  <c r="AQ14" i="3"/>
  <c r="AS14" i="3"/>
  <c r="AT14" i="3"/>
  <c r="AU14" i="3"/>
  <c r="AW14" i="3"/>
  <c r="AX14" i="3"/>
  <c r="AZ14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N15" i="3"/>
  <c r="AO15" i="3"/>
  <c r="AP15" i="3"/>
  <c r="AQ15" i="3"/>
  <c r="AR15" i="3"/>
  <c r="AT15" i="3"/>
  <c r="AU15" i="3"/>
  <c r="AV15" i="3"/>
  <c r="AW15" i="3"/>
  <c r="AX15" i="3"/>
  <c r="AZ15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Z16" i="3"/>
  <c r="C5" i="4"/>
  <c r="N1" i="5"/>
  <c r="C6" i="4"/>
  <c r="O1" i="5"/>
  <c r="C7" i="4"/>
  <c r="P1" i="5"/>
  <c r="E4" i="4"/>
  <c r="Q1" i="5"/>
  <c r="T1" i="5"/>
  <c r="V1" i="5"/>
  <c r="N2" i="5"/>
  <c r="O2" i="5" s="1"/>
  <c r="Q2" i="5"/>
  <c r="R2" i="5" s="1"/>
  <c r="T2" i="5"/>
  <c r="U2" i="5" s="1"/>
  <c r="N3" i="5"/>
  <c r="Q3" i="5" s="1"/>
  <c r="O3" i="5"/>
  <c r="R3" i="5" s="1"/>
  <c r="P3" i="5"/>
  <c r="S3" i="5" s="1"/>
  <c r="D2" i="4"/>
  <c r="E2" i="4"/>
  <c r="F2" i="4"/>
  <c r="A5" i="4"/>
  <c r="A6" i="4"/>
  <c r="E6" i="4"/>
  <c r="A7" i="4"/>
  <c r="G2" i="6"/>
  <c r="H2" i="6"/>
  <c r="G4" i="6"/>
  <c r="H4" i="6"/>
  <c r="G5" i="6"/>
  <c r="H5" i="6"/>
  <c r="G6" i="6"/>
  <c r="H6" i="6"/>
  <c r="G7" i="6"/>
  <c r="H7" i="6"/>
  <c r="G8" i="6"/>
  <c r="H8" i="6"/>
  <c r="G9" i="6"/>
  <c r="H9" i="6"/>
  <c r="G10" i="6"/>
  <c r="H10" i="6"/>
  <c r="G11" i="6"/>
  <c r="H11" i="6"/>
  <c r="G12" i="6"/>
  <c r="H12" i="6"/>
  <c r="G13" i="6"/>
  <c r="H13" i="6"/>
  <c r="G14" i="6"/>
  <c r="H14" i="6"/>
  <c r="G15" i="6"/>
  <c r="H15" i="6"/>
  <c r="G16" i="6"/>
  <c r="H16" i="6"/>
  <c r="G17" i="6"/>
  <c r="H17" i="6"/>
  <c r="G18" i="6"/>
  <c r="H18" i="6"/>
  <c r="G19" i="6"/>
  <c r="H19" i="6"/>
  <c r="G20" i="6"/>
  <c r="H20" i="6"/>
  <c r="G21" i="6"/>
  <c r="H21" i="6"/>
  <c r="G22" i="6"/>
  <c r="H22" i="6"/>
  <c r="G23" i="6"/>
  <c r="H23" i="6"/>
  <c r="G24" i="6"/>
  <c r="H24" i="6"/>
  <c r="G25" i="6"/>
  <c r="H25" i="6"/>
  <c r="G26" i="6"/>
  <c r="H26" i="6"/>
  <c r="G27" i="6"/>
  <c r="H27" i="6"/>
  <c r="G28" i="6"/>
  <c r="H28" i="6"/>
  <c r="G29" i="6"/>
  <c r="H29" i="6"/>
  <c r="G30" i="6"/>
  <c r="H30" i="6"/>
  <c r="G31" i="6"/>
  <c r="H31" i="6"/>
  <c r="G32" i="6"/>
  <c r="H32" i="6"/>
  <c r="G33" i="6"/>
  <c r="H33" i="6"/>
  <c r="G34" i="6"/>
  <c r="H34" i="6"/>
  <c r="R1" i="5"/>
  <c r="U1" i="5"/>
  <c r="S1" i="5"/>
  <c r="V3" i="5" l="1"/>
  <c r="U3" i="5"/>
  <c r="BA16" i="3"/>
  <c r="AX13" i="3"/>
  <c r="U16" i="3"/>
  <c r="U15" i="3"/>
  <c r="E7" i="4" s="1"/>
  <c r="U13" i="3"/>
  <c r="R14" i="3"/>
  <c r="R13" i="3"/>
  <c r="D7" i="4" s="1"/>
  <c r="R12" i="3"/>
  <c r="R9" i="3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P2" i="5"/>
  <c r="E5" i="4"/>
  <c r="J14" i="3"/>
  <c r="J11" i="3"/>
  <c r="J9" i="3"/>
  <c r="BA14" i="3"/>
  <c r="BA13" i="3"/>
  <c r="BA12" i="3"/>
  <c r="BA15" i="3"/>
  <c r="BA11" i="3"/>
  <c r="BA10" i="3"/>
  <c r="BA9" i="3"/>
  <c r="BA8" i="3"/>
  <c r="BA7" i="3"/>
  <c r="BA6" i="3"/>
  <c r="AY5" i="3"/>
  <c r="AY16" i="3"/>
  <c r="AY15" i="3"/>
  <c r="AY14" i="3"/>
  <c r="AV14" i="3"/>
  <c r="AV13" i="3"/>
  <c r="AV11" i="3"/>
  <c r="AV10" i="3"/>
  <c r="AS15" i="3"/>
  <c r="AS12" i="3"/>
  <c r="AS11" i="3"/>
  <c r="AS8" i="3"/>
  <c r="AR14" i="3"/>
  <c r="AR12" i="3"/>
  <c r="AR10" i="3"/>
  <c r="AR8" i="3"/>
  <c r="AM15" i="3"/>
  <c r="AM14" i="3"/>
  <c r="AM13" i="3"/>
  <c r="AM12" i="3"/>
  <c r="AM11" i="3"/>
  <c r="AM10" i="3"/>
  <c r="AM9" i="3"/>
  <c r="AM8" i="3"/>
  <c r="AM7" i="3"/>
  <c r="AM6" i="3"/>
  <c r="F6" i="4"/>
  <c r="F5" i="4"/>
  <c r="V2" i="5"/>
  <c r="S2" i="5"/>
  <c r="T3" i="5"/>
  <c r="D6" i="4" l="1"/>
  <c r="F7" i="4"/>
</calcChain>
</file>

<file path=xl/sharedStrings.xml><?xml version="1.0" encoding="utf-8"?>
<sst xmlns="http://schemas.openxmlformats.org/spreadsheetml/2006/main" count="140" uniqueCount="138">
  <si>
    <t>Matriz de Análisis de Riesgo</t>
  </si>
  <si>
    <t>Probabilidad de Amenaza [1 = Insignificante, 2 = Baja,  3= Mediana, 4 = Alta]</t>
  </si>
  <si>
    <t>Datos e Información</t>
  </si>
  <si>
    <t>Clasificación</t>
  </si>
  <si>
    <t>Magnitud de Daño:
[1 = Insignificante
2 = Bajo
3 = Mediano
4 = Alto]</t>
  </si>
  <si>
    <t>Actos originados por la criminalidad común y motivación política</t>
  </si>
  <si>
    <t>Sucesos de origen físico</t>
  </si>
  <si>
    <t>Sucesos derivados de la impericia, negligencia de usuarios/as y decisiones institucionales</t>
  </si>
  <si>
    <t>Confidencial, Privado, Sensitivo</t>
  </si>
  <si>
    <t>Obligación por ley / Contrato / Convenio</t>
  </si>
  <si>
    <t>Costo de recuperación (tiempo, económico, material, imagen, emocional)</t>
  </si>
  <si>
    <t>Allanamiento (ilegal, legal)</t>
  </si>
  <si>
    <t>Persecución (civil, fiscal, penal)</t>
  </si>
  <si>
    <t>Orden de secuestro / Detención</t>
  </si>
  <si>
    <t>Sabotaje (ataque físico y electrónico)</t>
  </si>
  <si>
    <t>Daños por vandalismo</t>
  </si>
  <si>
    <t>Extorsión</t>
  </si>
  <si>
    <t>Fraude / Estafa</t>
  </si>
  <si>
    <t>Robo / Hurto (físico)</t>
  </si>
  <si>
    <t>Robo / Hurto de información electrónica</t>
  </si>
  <si>
    <t>Intrusión a Red interna</t>
  </si>
  <si>
    <t>Infiltración</t>
  </si>
  <si>
    <t>Virus / Ejecución no autorizado de programas</t>
  </si>
  <si>
    <t>Violación a derechos de autor</t>
  </si>
  <si>
    <t>Incendio</t>
  </si>
  <si>
    <t>Inundación / deslave</t>
  </si>
  <si>
    <t>Sismo</t>
  </si>
  <si>
    <t>Polvo</t>
  </si>
  <si>
    <t>Falta de ventilación</t>
  </si>
  <si>
    <t>Electromagnetismo</t>
  </si>
  <si>
    <t>Sobrecarga eléctrica</t>
  </si>
  <si>
    <t>Falla de corriente (apagones)</t>
  </si>
  <si>
    <t>Falla de sistema / Daño disco duro</t>
  </si>
  <si>
    <t>Falta de inducción, capacitación y sensibilización sobre riesgos</t>
  </si>
  <si>
    <t>Mal manejo de sistemas y herramientas</t>
  </si>
  <si>
    <t>Utilización de programas no autorizados / software 'pirateado'</t>
  </si>
  <si>
    <t>Falta de pruebas de software nuevo con datos productivos</t>
  </si>
  <si>
    <t>Perdida de datos</t>
  </si>
  <si>
    <t>Infección de sistemas a través de unidades portables sin escaneo</t>
  </si>
  <si>
    <t>Manejo inadecuado de datos críticos (codificar, borrar, etc.)</t>
  </si>
  <si>
    <t>Unidades portables con información sin cifrado</t>
  </si>
  <si>
    <t>Transmisión no cifrada de datos críticos</t>
  </si>
  <si>
    <t>Manejo inadecuado de contraseñas (inseguras, no cambiar, compartidas, BD centralizada)</t>
  </si>
  <si>
    <t>Compartir contraseñas o permisos a terceros no autorizados</t>
  </si>
  <si>
    <t>Transmisión de contraseñas por teléfono</t>
  </si>
  <si>
    <t>Exposición o extravío de equipo, unidades de almacenamiento, etc</t>
  </si>
  <si>
    <t>Sobrepasar autoridades</t>
  </si>
  <si>
    <t>Falta de definición de perfil, privilegios y restricciones del personal</t>
  </si>
  <si>
    <t>Falta de mantenimiento físico (proceso, repuestos e insumos)</t>
  </si>
  <si>
    <t>Falta de actualización de software (proceso y recursos)</t>
  </si>
  <si>
    <t>Fallas en permisos de usuarios (acceso a archivos)</t>
  </si>
  <si>
    <t>Acceso electrónico no autorizado a sistemas externos</t>
  </si>
  <si>
    <t>Acceso electrónico no autorizado a sistemas internos</t>
  </si>
  <si>
    <t>Red cableada expuesta para el acceso no autorizado</t>
  </si>
  <si>
    <t>Red inalámbrica expuesta al acceso no autorizado</t>
  </si>
  <si>
    <t>Dependencia a servicio técnico externo</t>
  </si>
  <si>
    <t>Falta de normas y reglas claras (no institucionalizar el estudio de los riesgos)</t>
  </si>
  <si>
    <t>Falta de mecanismos de verificación de normas y reglas / Análisis inadecuado de datos de control</t>
  </si>
  <si>
    <t>Ausencia de documentación</t>
  </si>
  <si>
    <t>Documentos institucionales (Proyectos, Planes, Evaluaciones, Informes, etc.)</t>
  </si>
  <si>
    <t>Finanzas</t>
  </si>
  <si>
    <t>Servicios bancarios</t>
  </si>
  <si>
    <t>RR.HH</t>
  </si>
  <si>
    <t>Directorio de Contactos</t>
  </si>
  <si>
    <t>Productos institucionales (Investigaciones, Folletos, Fotos, etc.)</t>
  </si>
  <si>
    <t>Correo electrónico</t>
  </si>
  <si>
    <t>Bases de datos internos</t>
  </si>
  <si>
    <t>Bases de datos externos</t>
  </si>
  <si>
    <t>Bases de datos colaborativos</t>
  </si>
  <si>
    <t>Página Web interna (Intranet)</t>
  </si>
  <si>
    <t>Página Web externa</t>
  </si>
  <si>
    <t>Respaldos</t>
  </si>
  <si>
    <t>Infraestructura (Planes, Documentación, etc.)</t>
  </si>
  <si>
    <t>Informática (Planes, Documentación, etc.)</t>
  </si>
  <si>
    <t>Base de datos de Contraseñas</t>
  </si>
  <si>
    <t>Datos e información no institucionales</t>
  </si>
  <si>
    <t>Navegación en Internet</t>
  </si>
  <si>
    <t>Chat interno</t>
  </si>
  <si>
    <t>Chat externo</t>
  </si>
  <si>
    <t>Llamadas telefónicas internas</t>
  </si>
  <si>
    <t>Llamadas telefónicas externas</t>
  </si>
  <si>
    <t>Sistemas e Infraestructura</t>
  </si>
  <si>
    <t>Acceso exclusivo</t>
  </si>
  <si>
    <t>Acceso ilimitado</t>
  </si>
  <si>
    <t>Equipos de la red cableada (router, switch, etc.)</t>
  </si>
  <si>
    <t>Equipos de la red inalámbrica  (router, punto de acceso, etc.)</t>
  </si>
  <si>
    <t>Cortafuego</t>
  </si>
  <si>
    <t>Servidores</t>
  </si>
  <si>
    <t>Computadoras</t>
  </si>
  <si>
    <t>Portátiles</t>
  </si>
  <si>
    <t>Programas de administración (contabilidad, manejo de personal, etc.)</t>
  </si>
  <si>
    <t>Programas de manejo de proyectos</t>
  </si>
  <si>
    <t>Programas de producción de datos</t>
  </si>
  <si>
    <t>Programas de comunicación (correo electrónico, chat, llamadas telefónicas, etc.)</t>
  </si>
  <si>
    <t>Impresoras</t>
  </si>
  <si>
    <t>Memorias portátiles</t>
  </si>
  <si>
    <t>PBX (Sistema de telefonía convencional)</t>
  </si>
  <si>
    <t>Celulares</t>
  </si>
  <si>
    <t>Edificio (Oficinas, Recepción, Sala de espera, Sala de reunión, Bodega, etc.)</t>
  </si>
  <si>
    <t>Vehículos</t>
  </si>
  <si>
    <t>Personal</t>
  </si>
  <si>
    <t>Imagen pública de alto perfil, indispensable para funcionamiento institucional</t>
  </si>
  <si>
    <t>Perfil medio, experto en su área</t>
  </si>
  <si>
    <t>Perfil bajo, no indispensable para funcionamiento institucional</t>
  </si>
  <si>
    <t>Junta Directiva</t>
  </si>
  <si>
    <t>Dirección / Coordinación</t>
  </si>
  <si>
    <t>Administración</t>
  </si>
  <si>
    <t>Personal técnico</t>
  </si>
  <si>
    <t>Recepción</t>
  </si>
  <si>
    <t>Piloto / conductor</t>
  </si>
  <si>
    <t>Informática / Soporte técnico interno</t>
  </si>
  <si>
    <t>Soporte técnico externo</t>
  </si>
  <si>
    <t>Servicio de limpieza de planta</t>
  </si>
  <si>
    <t>Servicio de limpieza externo</t>
  </si>
  <si>
    <t>Servicio de mensajería de propio</t>
  </si>
  <si>
    <t>Servicio de mensajería de externo</t>
  </si>
  <si>
    <t>Análisis de Riesgo promedio</t>
  </si>
  <si>
    <t>Promedio</t>
  </si>
  <si>
    <t>Probabilidad de Amenaza</t>
  </si>
  <si>
    <t>Criminalidad y Político</t>
  </si>
  <si>
    <t>Negligencia y Institucional</t>
  </si>
  <si>
    <t>Magnitud de Daño</t>
  </si>
  <si>
    <t>Etiqueta</t>
  </si>
  <si>
    <t>X</t>
  </si>
  <si>
    <t>Y</t>
  </si>
  <si>
    <t>Valoración</t>
  </si>
  <si>
    <t>Escala</t>
  </si>
  <si>
    <t>Valor_min</t>
  </si>
  <si>
    <t>Valor_max</t>
  </si>
  <si>
    <t>Lineas</t>
  </si>
  <si>
    <t>Umbral Medio Riesgo</t>
  </si>
  <si>
    <t>Umbral Alto Riesgo</t>
  </si>
  <si>
    <t>Ninguna</t>
  </si>
  <si>
    <t>Baja</t>
  </si>
  <si>
    <t>x</t>
  </si>
  <si>
    <t>y</t>
  </si>
  <si>
    <t>Mediana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</si>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</sst>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name val="Verdana"/>
      <family val="2"/>
    </font>
    <font>
      <sz val="10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8"/>
      <name val="Verdana"/>
      <family val="2"/>
    </font>
    <font>
      <b/>
      <sz val="10"/>
      <name val="Verdana"/>
      <family val="2"/>
    </font>
    <font>
      <b/>
      <sz val="18"/>
      <name val="Verdana"/>
      <family val="2"/>
    </font>
    <font>
      <b/>
      <sz val="16"/>
      <name val="Verdana"/>
      <family val="2"/>
    </font>
    <font>
      <sz val="16"/>
      <name val="Verdana"/>
      <family val="2"/>
    </font>
    <font>
      <sz val="10"/>
      <name val="Verdana"/>
      <family val="2"/>
      <charset val="1"/>
    </font>
    <font>
      <b/>
      <sz val="10"/>
      <name val="Verdana"/>
      <family val="2"/>
      <charset val="1"/>
    </font>
    <font>
      <sz val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  <fill>
      <patternFill patternType="solid">
        <fgColor indexed="11"/>
        <bgColor indexed="49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43"/>
        <bgColor indexed="26"/>
      </patternFill>
    </fill>
    <fill>
      <patternFill patternType="solid">
        <fgColor indexed="50"/>
        <bgColor indexed="51"/>
      </patternFill>
    </fill>
  </fills>
  <borders count="2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hair">
        <color indexed="8"/>
      </bottom>
      <diagonal/>
    </border>
    <border>
      <left/>
      <right/>
      <top style="medium">
        <color indexed="8"/>
      </top>
      <bottom style="hair">
        <color indexed="8"/>
      </bottom>
      <diagonal/>
    </border>
    <border>
      <left/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medium">
        <color indexed="8"/>
      </right>
      <top style="hair">
        <color indexed="8"/>
      </top>
      <bottom/>
      <diagonal/>
    </border>
    <border>
      <left style="hair">
        <color indexed="8"/>
      </left>
      <right style="medium">
        <color indexed="8"/>
      </right>
      <top/>
      <bottom/>
      <diagonal/>
    </border>
  </borders>
  <cellStyleXfs count="4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2" fillId="5" borderId="1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3" fillId="6" borderId="10" xfId="0" applyFont="1" applyFill="1" applyBorder="1" applyAlignment="1">
      <alignment horizontal="center" textRotation="90" wrapText="1"/>
    </xf>
    <xf numFmtId="0" fontId="3" fillId="6" borderId="11" xfId="0" applyFont="1" applyFill="1" applyBorder="1" applyAlignment="1">
      <alignment horizontal="center" textRotation="90" wrapText="1"/>
    </xf>
    <xf numFmtId="0" fontId="4" fillId="6" borderId="11" xfId="0" applyFont="1" applyFill="1" applyBorder="1" applyAlignment="1">
      <alignment horizontal="center" textRotation="90" wrapText="1"/>
    </xf>
    <xf numFmtId="0" fontId="3" fillId="6" borderId="12" xfId="0" applyFont="1" applyFill="1" applyBorder="1" applyAlignment="1">
      <alignment horizontal="center" textRotation="90" wrapText="1"/>
    </xf>
    <xf numFmtId="0" fontId="3" fillId="5" borderId="10" xfId="0" applyFont="1" applyFill="1" applyBorder="1" applyAlignment="1">
      <alignment horizontal="center" textRotation="90" wrapText="1"/>
    </xf>
    <xf numFmtId="0" fontId="3" fillId="5" borderId="11" xfId="0" applyFont="1" applyFill="1" applyBorder="1" applyAlignment="1">
      <alignment horizontal="center" textRotation="90" wrapText="1"/>
    </xf>
    <xf numFmtId="0" fontId="4" fillId="5" borderId="12" xfId="0" applyFont="1" applyFill="1" applyBorder="1" applyAlignment="1">
      <alignment horizontal="center" textRotation="90" wrapText="1"/>
    </xf>
    <xf numFmtId="0" fontId="4" fillId="6" borderId="12" xfId="0" applyFont="1" applyFill="1" applyBorder="1" applyAlignment="1">
      <alignment horizontal="center" textRotation="90" wrapText="1"/>
    </xf>
    <xf numFmtId="0" fontId="1" fillId="7" borderId="11" xfId="0" applyFont="1" applyFill="1" applyBorder="1" applyAlignment="1" applyProtection="1">
      <alignment horizontal="center" vertical="center"/>
      <protection locked="0"/>
    </xf>
    <xf numFmtId="0" fontId="1" fillId="7" borderId="10" xfId="0" applyFont="1" applyFill="1" applyBorder="1" applyAlignment="1" applyProtection="1">
      <alignment horizontal="center" vertical="center"/>
      <protection locked="0"/>
    </xf>
    <xf numFmtId="0" fontId="1" fillId="7" borderId="12" xfId="0" applyFont="1" applyFill="1" applyBorder="1" applyAlignment="1" applyProtection="1">
      <alignment horizontal="center" vertical="center"/>
      <protection locked="0"/>
    </xf>
    <xf numFmtId="0" fontId="3" fillId="5" borderId="10" xfId="0" applyFont="1" applyFill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vertical="center" wrapText="1"/>
    </xf>
    <xf numFmtId="0" fontId="1" fillId="7" borderId="14" xfId="0" applyFont="1" applyFill="1" applyBorder="1" applyAlignment="1" applyProtection="1">
      <alignment horizontal="center" vertical="center"/>
      <protection locked="0"/>
    </xf>
    <xf numFmtId="0" fontId="1" fillId="7" borderId="15" xfId="0" applyFont="1" applyFill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8" borderId="11" xfId="0" applyFill="1" applyBorder="1" applyAlignment="1">
      <alignment horizontal="center" vertical="center"/>
    </xf>
    <xf numFmtId="2" fontId="0" fillId="8" borderId="11" xfId="0" applyNumberForma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8" borderId="1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0" fillId="0" borderId="16" xfId="0" applyBorder="1"/>
    <xf numFmtId="0" fontId="6" fillId="0" borderId="11" xfId="0" applyFont="1" applyBorder="1" applyAlignment="1">
      <alignment horizontal="left" vertical="center" wrapText="1"/>
    </xf>
    <xf numFmtId="164" fontId="0" fillId="0" borderId="11" xfId="0" applyNumberFormat="1" applyBorder="1" applyAlignment="1">
      <alignment horizontal="center" vertical="center"/>
    </xf>
    <xf numFmtId="2" fontId="6" fillId="0" borderId="17" xfId="0" applyNumberFormat="1" applyFont="1" applyBorder="1" applyAlignment="1">
      <alignment horizontal="left" vertical="center" wrapText="1"/>
    </xf>
    <xf numFmtId="2" fontId="0" fillId="0" borderId="18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2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0" fontId="3" fillId="5" borderId="19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 wrapText="1"/>
    </xf>
    <xf numFmtId="0" fontId="3" fillId="5" borderId="16" xfId="0" applyFont="1" applyFill="1" applyBorder="1" applyAlignment="1">
      <alignment horizontal="center" textRotation="90" wrapText="1"/>
    </xf>
    <xf numFmtId="0" fontId="3" fillId="5" borderId="21" xfId="0" applyFont="1" applyFill="1" applyBorder="1" applyAlignment="1">
      <alignment horizontal="left" vertical="center" wrapText="1"/>
    </xf>
    <xf numFmtId="0" fontId="4" fillId="5" borderId="16" xfId="0" applyFont="1" applyFill="1" applyBorder="1" applyAlignment="1">
      <alignment horizontal="center" textRotation="90" wrapText="1"/>
    </xf>
  </cellXfs>
  <cellStyles count="4">
    <cellStyle name="Amarillo" xfId="1" xr:uid="{00000000-0005-0000-0000-000000000000}"/>
    <cellStyle name="Normal" xfId="0" builtinId="0"/>
    <cellStyle name="Rojo" xfId="2" xr:uid="{00000000-0005-0000-0000-000002000000}"/>
    <cellStyle name="Verde" xfId="3" xr:uid="{00000000-0005-0000-0000-000003000000}"/>
  </cellStyles>
  <dxfs count="12">
    <dxf>
      <font>
        <b val="0"/>
        <i val="0"/>
        <strike val="0"/>
        <condense val="0"/>
        <extend val="0"/>
        <u val="none"/>
        <sz val="10"/>
        <color indexed="8"/>
      </font>
      <fill>
        <patternFill patternType="solid">
          <fgColor indexed="60"/>
          <bgColor indexed="10"/>
        </patternFill>
      </fill>
    </dxf>
    <dxf>
      <font>
        <b val="0"/>
        <i val="0"/>
        <strike val="0"/>
        <condense val="0"/>
        <extend val="0"/>
        <u val="none"/>
        <sz val="10"/>
        <color indexed="8"/>
      </font>
      <fill>
        <patternFill patternType="solid">
          <fgColor indexed="34"/>
          <bgColor indexed="13"/>
        </patternFill>
      </fill>
    </dxf>
    <dxf>
      <font>
        <b val="0"/>
        <i val="0"/>
        <strike val="0"/>
        <condense val="0"/>
        <extend val="0"/>
        <u val="none"/>
        <sz val="10"/>
        <color indexed="8"/>
      </font>
      <fill>
        <patternFill patternType="solid">
          <fgColor indexed="49"/>
          <bgColor indexed="11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49"/>
          <bgColor indexed="11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49"/>
          <bgColor indexed="11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49"/>
          <bgColor indexed="1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CCCC00"/>
      <rgbColor rgb="00FFCC00"/>
      <rgbColor rgb="00FF9900"/>
      <rgbColor rgb="00FF6600"/>
      <rgbColor rgb="00666699"/>
      <rgbColor rgb="00B3B3B3"/>
      <rgbColor rgb="00003366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60" b="0" i="0" u="none" strike="noStrike" baseline="0">
                <a:solidFill>
                  <a:srgbClr val="1A1A1A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Análisis de Factores de Riesgo</a:t>
            </a:r>
          </a:p>
        </c:rich>
      </c:tx>
      <c:layout>
        <c:manualLayout>
          <c:xMode val="edge"/>
          <c:yMode val="edge"/>
          <c:x val="0.31548757170172081"/>
          <c:y val="2.60663507109004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2065009560229447E-2"/>
          <c:y val="0.11255930682535431"/>
          <c:w val="0.60898661567877632"/>
          <c:h val="0.73933692062127465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Analisis_Factores!$N$1</c:f>
              <c:strCache>
                <c:ptCount val="1"/>
                <c:pt idx="0">
                  <c:v>Criminalidad y Político / Datos e Información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Analisis_Factores!$N$2</c:f>
              <c:numCache>
                <c:formatCode>General</c:formatCode>
                <c:ptCount val="1"/>
                <c:pt idx="0">
                  <c:v>2.7692307692307692</c:v>
                </c:pt>
              </c:numCache>
            </c:numRef>
          </c:xVal>
          <c:yVal>
            <c:numRef>
              <c:f>Analisis_Factores!$N$3</c:f>
              <c:numCache>
                <c:formatCode>General</c:formatCode>
                <c:ptCount val="1"/>
                <c:pt idx="0">
                  <c:v>2.3636363636363638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C8-4815-A671-90B10ECAF583}"/>
            </c:ext>
          </c:extLst>
        </c:ser>
        <c:ser>
          <c:idx val="1"/>
          <c:order val="1"/>
          <c:tx>
            <c:strRef>
              <c:f>Analisis_Factores!$O$1</c:f>
              <c:strCache>
                <c:ptCount val="1"/>
                <c:pt idx="0">
                  <c:v>Criminalidad y Político / Sistemas e Infraestructura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Analisis_Factores!$O$2</c:f>
              <c:numCache>
                <c:formatCode>General</c:formatCode>
                <c:ptCount val="1"/>
                <c:pt idx="0">
                  <c:v>2.7692307692307692</c:v>
                </c:pt>
              </c:numCache>
            </c:numRef>
          </c:xVal>
          <c:yVal>
            <c:numRef>
              <c:f>Analisis_Factores!$O$3</c:f>
              <c:numCache>
                <c:formatCode>General</c:formatCode>
                <c:ptCount val="1"/>
                <c:pt idx="0">
                  <c:v>2.4375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C8-4815-A671-90B10ECAF583}"/>
            </c:ext>
          </c:extLst>
        </c:ser>
        <c:ser>
          <c:idx val="2"/>
          <c:order val="2"/>
          <c:tx>
            <c:strRef>
              <c:f>Analisis_Factores!$P$1</c:f>
              <c:strCache>
                <c:ptCount val="1"/>
                <c:pt idx="0">
                  <c:v>Criminalidad y Político / Personal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6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Analisis_Factores!$P$2</c:f>
              <c:numCache>
                <c:formatCode>General</c:formatCode>
                <c:ptCount val="1"/>
                <c:pt idx="0">
                  <c:v>2.7692307692307692</c:v>
                </c:pt>
              </c:numCache>
            </c:numRef>
          </c:xVal>
          <c:yVal>
            <c:numRef>
              <c:f>Analisis_Factores!$P$3</c:f>
              <c:numCache>
                <c:formatCode>General</c:formatCode>
                <c:ptCount val="1"/>
                <c:pt idx="0">
                  <c:v>1.8333333333333333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C8-4815-A671-90B10ECAF583}"/>
            </c:ext>
          </c:extLst>
        </c:ser>
        <c:ser>
          <c:idx val="3"/>
          <c:order val="3"/>
          <c:tx>
            <c:strRef>
              <c:f>Analisis_Factores!$Q$1</c:f>
              <c:strCache>
                <c:ptCount val="1"/>
                <c:pt idx="0">
                  <c:v>Sucesos de origen físico / Datos e Información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xVal>
            <c:numRef>
              <c:f>Analisis_Factores!$Q$2</c:f>
              <c:numCache>
                <c:formatCode>General</c:formatCode>
                <c:ptCount val="1"/>
                <c:pt idx="0">
                  <c:v>1.8888888888888888</c:v>
                </c:pt>
              </c:numCache>
            </c:numRef>
          </c:xVal>
          <c:yVal>
            <c:numRef>
              <c:f>Analisis_Factores!$Q$3</c:f>
              <c:numCache>
                <c:formatCode>General</c:formatCode>
                <c:ptCount val="1"/>
                <c:pt idx="0">
                  <c:v>2.3636363636363638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C8-4815-A671-90B10ECAF583}"/>
            </c:ext>
          </c:extLst>
        </c:ser>
        <c:ser>
          <c:idx val="4"/>
          <c:order val="4"/>
          <c:tx>
            <c:strRef>
              <c:f>Analisis_Factores!$R$1</c:f>
              <c:strCache>
                <c:ptCount val="1"/>
                <c:pt idx="0">
                  <c:v>Sucesos de origen físico / Sistemas e Infraestructura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Analisis_Factores!$R$2</c:f>
              <c:numCache>
                <c:formatCode>General</c:formatCode>
                <c:ptCount val="1"/>
                <c:pt idx="0">
                  <c:v>1.8888888888888888</c:v>
                </c:pt>
              </c:numCache>
            </c:numRef>
          </c:xVal>
          <c:yVal>
            <c:numRef>
              <c:f>Analisis_Factores!$R$3</c:f>
              <c:numCache>
                <c:formatCode>General</c:formatCode>
                <c:ptCount val="1"/>
                <c:pt idx="0">
                  <c:v>2.4375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AC8-4815-A671-90B10ECAF583}"/>
            </c:ext>
          </c:extLst>
        </c:ser>
        <c:ser>
          <c:idx val="5"/>
          <c:order val="5"/>
          <c:tx>
            <c:strRef>
              <c:f>Analisis_Factores!$S$1</c:f>
              <c:strCache>
                <c:ptCount val="1"/>
                <c:pt idx="0">
                  <c:v>Sucesos de origen físico / Personal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Analisis_Factores!$S$2</c:f>
              <c:numCache>
                <c:formatCode>General</c:formatCode>
                <c:ptCount val="1"/>
                <c:pt idx="0">
                  <c:v>1.8888888888888888</c:v>
                </c:pt>
              </c:numCache>
            </c:numRef>
          </c:xVal>
          <c:yVal>
            <c:numRef>
              <c:f>Analisis_Factores!$S$3</c:f>
              <c:numCache>
                <c:formatCode>General</c:formatCode>
                <c:ptCount val="1"/>
                <c:pt idx="0">
                  <c:v>1.8333333333333333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AC8-4815-A671-90B10ECAF583}"/>
            </c:ext>
          </c:extLst>
        </c:ser>
        <c:ser>
          <c:idx val="6"/>
          <c:order val="6"/>
          <c:tx>
            <c:strRef>
              <c:f>Analisis_Factores!$T$1</c:f>
              <c:strCache>
                <c:ptCount val="1"/>
                <c:pt idx="0">
                  <c:v>Negligencia y Institucional / Datos e Información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Analisis_Factores!$T$2</c:f>
              <c:numCache>
                <c:formatCode>General</c:formatCode>
                <c:ptCount val="1"/>
                <c:pt idx="0">
                  <c:v>2.2307692307692308</c:v>
                </c:pt>
              </c:numCache>
            </c:numRef>
          </c:xVal>
          <c:yVal>
            <c:numRef>
              <c:f>Analisis_Factores!$T$3</c:f>
              <c:numCache>
                <c:formatCode>General</c:formatCode>
                <c:ptCount val="1"/>
                <c:pt idx="0">
                  <c:v>2.3636363636363638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AC8-4815-A671-90B10ECAF583}"/>
            </c:ext>
          </c:extLst>
        </c:ser>
        <c:ser>
          <c:idx val="7"/>
          <c:order val="7"/>
          <c:tx>
            <c:strRef>
              <c:f>Analisis_Factores!$U$1</c:f>
              <c:strCache>
                <c:ptCount val="1"/>
                <c:pt idx="0">
                  <c:v>Negligencia y Institucional / Sistemas e Infraestructura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Analisis_Factores!$U$2</c:f>
              <c:numCache>
                <c:formatCode>General</c:formatCode>
                <c:ptCount val="1"/>
                <c:pt idx="0">
                  <c:v>2.2307692307692308</c:v>
                </c:pt>
              </c:numCache>
            </c:numRef>
          </c:xVal>
          <c:yVal>
            <c:numRef>
              <c:f>Analisis_Factores!$U$3</c:f>
              <c:numCache>
                <c:formatCode>General</c:formatCode>
                <c:ptCount val="1"/>
                <c:pt idx="0">
                  <c:v>2.4375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AC8-4815-A671-90B10ECAF583}"/>
            </c:ext>
          </c:extLst>
        </c:ser>
        <c:ser>
          <c:idx val="8"/>
          <c:order val="8"/>
          <c:tx>
            <c:strRef>
              <c:f>Analisis_Factores!$V$1</c:f>
              <c:strCache>
                <c:ptCount val="1"/>
                <c:pt idx="0">
                  <c:v>Negligencia y Institucional / Personal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Analisis_Factores!$V$2</c:f>
              <c:numCache>
                <c:formatCode>General</c:formatCode>
                <c:ptCount val="1"/>
                <c:pt idx="0">
                  <c:v>2.2307692307692308</c:v>
                </c:pt>
              </c:numCache>
            </c:numRef>
          </c:xVal>
          <c:yVal>
            <c:numRef>
              <c:f>Analisis_Factores!$V$3</c:f>
              <c:numCache>
                <c:formatCode>General</c:formatCode>
                <c:ptCount val="1"/>
                <c:pt idx="0">
                  <c:v>1.8333333333333333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AC8-4815-A671-90B10ECAF583}"/>
            </c:ext>
          </c:extLst>
        </c:ser>
        <c:ser>
          <c:idx val="9"/>
          <c:order val="9"/>
          <c:tx>
            <c:strRef>
              <c:f>Fuente!$G$1</c:f>
              <c:strCache>
                <c:ptCount val="1"/>
                <c:pt idx="0">
                  <c:v>Umbral Medio Riesgo</c:v>
                </c:pt>
              </c:strCache>
            </c:strRef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Fuente!$F$11:$F$34</c:f>
              <c:numCache>
                <c:formatCode>0.0</c:formatCode>
                <c:ptCount val="24"/>
                <c:pt idx="0">
                  <c:v>1.75</c:v>
                </c:pt>
                <c:pt idx="1">
                  <c:v>1.8</c:v>
                </c:pt>
                <c:pt idx="2">
                  <c:v>1.9</c:v>
                </c:pt>
                <c:pt idx="3">
                  <c:v>2</c:v>
                </c:pt>
                <c:pt idx="4">
                  <c:v>2.1</c:v>
                </c:pt>
                <c:pt idx="5">
                  <c:v>2.2000000000000002</c:v>
                </c:pt>
                <c:pt idx="6">
                  <c:v>2.2999999999999998</c:v>
                </c:pt>
                <c:pt idx="7">
                  <c:v>2.4</c:v>
                </c:pt>
                <c:pt idx="8">
                  <c:v>2.5</c:v>
                </c:pt>
                <c:pt idx="9">
                  <c:v>2.625</c:v>
                </c:pt>
                <c:pt idx="10">
                  <c:v>2.7</c:v>
                </c:pt>
                <c:pt idx="11">
                  <c:v>2.8</c:v>
                </c:pt>
                <c:pt idx="12">
                  <c:v>2.9</c:v>
                </c:pt>
                <c:pt idx="13">
                  <c:v>3</c:v>
                </c:pt>
                <c:pt idx="14">
                  <c:v>3.1</c:v>
                </c:pt>
                <c:pt idx="15">
                  <c:v>3.2</c:v>
                </c:pt>
                <c:pt idx="16">
                  <c:v>3.3</c:v>
                </c:pt>
                <c:pt idx="17">
                  <c:v>3.4</c:v>
                </c:pt>
                <c:pt idx="18">
                  <c:v>3.5</c:v>
                </c:pt>
                <c:pt idx="19">
                  <c:v>3.6</c:v>
                </c:pt>
                <c:pt idx="20">
                  <c:v>3.7</c:v>
                </c:pt>
                <c:pt idx="21">
                  <c:v>3.8</c:v>
                </c:pt>
                <c:pt idx="22">
                  <c:v>3.9</c:v>
                </c:pt>
                <c:pt idx="23">
                  <c:v>4</c:v>
                </c:pt>
              </c:numCache>
            </c:numRef>
          </c:xVal>
          <c:yVal>
            <c:numRef>
              <c:f>Fuente!$G$11:$G$34</c:f>
              <c:numCache>
                <c:formatCode>0.0</c:formatCode>
                <c:ptCount val="24"/>
                <c:pt idx="0">
                  <c:v>4</c:v>
                </c:pt>
                <c:pt idx="1">
                  <c:v>3.8888888888888888</c:v>
                </c:pt>
                <c:pt idx="2">
                  <c:v>3.6842105263157898</c:v>
                </c:pt>
                <c:pt idx="3">
                  <c:v>3.5</c:v>
                </c:pt>
                <c:pt idx="4">
                  <c:v>3.333333333333333</c:v>
                </c:pt>
                <c:pt idx="5">
                  <c:v>3.1818181818181817</c:v>
                </c:pt>
                <c:pt idx="6">
                  <c:v>3.0434782608695654</c:v>
                </c:pt>
                <c:pt idx="7">
                  <c:v>2.916666666666667</c:v>
                </c:pt>
                <c:pt idx="8">
                  <c:v>2.8</c:v>
                </c:pt>
                <c:pt idx="9">
                  <c:v>2.6666666666666665</c:v>
                </c:pt>
                <c:pt idx="10">
                  <c:v>2.5925925925925926</c:v>
                </c:pt>
                <c:pt idx="11">
                  <c:v>2.5</c:v>
                </c:pt>
                <c:pt idx="12">
                  <c:v>2.4137931034482758</c:v>
                </c:pt>
                <c:pt idx="13">
                  <c:v>2.3333333333333335</c:v>
                </c:pt>
                <c:pt idx="14">
                  <c:v>2.258064516129032</c:v>
                </c:pt>
                <c:pt idx="15">
                  <c:v>2.1875</c:v>
                </c:pt>
                <c:pt idx="16">
                  <c:v>2.1212121212121211</c:v>
                </c:pt>
                <c:pt idx="17">
                  <c:v>2.0588235294117649</c:v>
                </c:pt>
                <c:pt idx="18">
                  <c:v>2</c:v>
                </c:pt>
                <c:pt idx="19">
                  <c:v>1.9444444444444444</c:v>
                </c:pt>
                <c:pt idx="20">
                  <c:v>1.8918918918918919</c:v>
                </c:pt>
                <c:pt idx="21">
                  <c:v>1.8421052631578949</c:v>
                </c:pt>
                <c:pt idx="22">
                  <c:v>1.7948717948717949</c:v>
                </c:pt>
                <c:pt idx="23">
                  <c:v>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AC8-4815-A671-90B10ECAF583}"/>
            </c:ext>
          </c:extLst>
        </c:ser>
        <c:ser>
          <c:idx val="10"/>
          <c:order val="10"/>
          <c:tx>
            <c:strRef>
              <c:f>Fuente!$H$1</c:f>
              <c:strCache>
                <c:ptCount val="1"/>
                <c:pt idx="0">
                  <c:v>Umbral Alto Riesgo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Fuente!$F$20:$F$34</c:f>
              <c:numCache>
                <c:formatCode>0.0</c:formatCode>
                <c:ptCount val="15"/>
                <c:pt idx="0">
                  <c:v>2.625</c:v>
                </c:pt>
                <c:pt idx="1">
                  <c:v>2.7</c:v>
                </c:pt>
                <c:pt idx="2">
                  <c:v>2.8</c:v>
                </c:pt>
                <c:pt idx="3">
                  <c:v>2.9</c:v>
                </c:pt>
                <c:pt idx="4">
                  <c:v>3</c:v>
                </c:pt>
                <c:pt idx="5">
                  <c:v>3.1</c:v>
                </c:pt>
                <c:pt idx="6">
                  <c:v>3.2</c:v>
                </c:pt>
                <c:pt idx="7">
                  <c:v>3.3</c:v>
                </c:pt>
                <c:pt idx="8">
                  <c:v>3.4</c:v>
                </c:pt>
                <c:pt idx="9">
                  <c:v>3.5</c:v>
                </c:pt>
                <c:pt idx="10">
                  <c:v>3.6</c:v>
                </c:pt>
                <c:pt idx="11">
                  <c:v>3.7</c:v>
                </c:pt>
                <c:pt idx="12">
                  <c:v>3.8</c:v>
                </c:pt>
                <c:pt idx="13">
                  <c:v>3.9</c:v>
                </c:pt>
                <c:pt idx="14">
                  <c:v>4</c:v>
                </c:pt>
              </c:numCache>
            </c:numRef>
          </c:xVal>
          <c:yVal>
            <c:numRef>
              <c:f>Fuente!$H$20:$H$34</c:f>
              <c:numCache>
                <c:formatCode>0.0</c:formatCode>
                <c:ptCount val="15"/>
                <c:pt idx="0">
                  <c:v>4</c:v>
                </c:pt>
                <c:pt idx="1">
                  <c:v>3.8888888888888888</c:v>
                </c:pt>
                <c:pt idx="2">
                  <c:v>3.7500000000000004</c:v>
                </c:pt>
                <c:pt idx="3">
                  <c:v>3.6206896551724137</c:v>
                </c:pt>
                <c:pt idx="4">
                  <c:v>3.5</c:v>
                </c:pt>
                <c:pt idx="5">
                  <c:v>3.3870967741935485</c:v>
                </c:pt>
                <c:pt idx="6">
                  <c:v>3.28125</c:v>
                </c:pt>
                <c:pt idx="7">
                  <c:v>3.1818181818181821</c:v>
                </c:pt>
                <c:pt idx="8">
                  <c:v>3.0882352941176472</c:v>
                </c:pt>
                <c:pt idx="9">
                  <c:v>3</c:v>
                </c:pt>
                <c:pt idx="10">
                  <c:v>2.9166666666666665</c:v>
                </c:pt>
                <c:pt idx="11">
                  <c:v>2.8378378378378377</c:v>
                </c:pt>
                <c:pt idx="12">
                  <c:v>2.763157894736842</c:v>
                </c:pt>
                <c:pt idx="13">
                  <c:v>2.6923076923076925</c:v>
                </c:pt>
                <c:pt idx="14">
                  <c:v>2.625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AC8-4815-A671-90B10ECAF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775488"/>
        <c:axId val="1"/>
      </c:scatterChart>
      <c:valAx>
        <c:axId val="907775488"/>
        <c:scaling>
          <c:orientation val="minMax"/>
          <c:max val="4"/>
          <c:min val="0"/>
        </c:scaling>
        <c:delete val="0"/>
        <c:axPos val="b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05" b="0" i="0" u="none" strike="noStrike" baseline="0">
                    <a:solidFill>
                      <a:srgbClr val="1A1A1A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Probalidad de Amenaza</a:t>
                </a:r>
              </a:p>
            </c:rich>
          </c:tx>
          <c:layout>
            <c:manualLayout>
              <c:xMode val="edge"/>
              <c:yMode val="edge"/>
              <c:x val="0.24665391969407266"/>
              <c:y val="0.851896232165292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3175">
            <a:solidFill>
              <a:srgbClr val="B3B3B3"/>
            </a:solidFill>
            <a:prstDash val="solid"/>
          </a:ln>
        </c:spPr>
        <c:crossAx val="1"/>
        <c:crosses val="autoZero"/>
        <c:crossBetween val="midCat"/>
        <c:majorUnit val="4"/>
        <c:minorUnit val="0.8"/>
      </c:valAx>
      <c:valAx>
        <c:axId val="1"/>
        <c:scaling>
          <c:orientation val="minMax"/>
          <c:max val="4"/>
          <c:min val="0"/>
        </c:scaling>
        <c:delete val="0"/>
        <c:axPos val="l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1A1A1A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Magnitud de Daño</a:t>
                </a:r>
              </a:p>
            </c:rich>
          </c:tx>
          <c:layout>
            <c:manualLayout>
              <c:xMode val="edge"/>
              <c:yMode val="edge"/>
              <c:x val="9.5602294455066923E-3"/>
              <c:y val="0.409952855419138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3175">
            <a:solidFill>
              <a:srgbClr val="B3B3B3"/>
            </a:solidFill>
            <a:prstDash val="solid"/>
          </a:ln>
        </c:spPr>
        <c:crossAx val="907775488"/>
        <c:crosses val="autoZero"/>
        <c:crossBetween val="midCat"/>
        <c:majorUnit val="4"/>
        <c:minorUnit val="0.8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061185468451245"/>
          <c:y val="0.25000012439203395"/>
          <c:w val="0.33173996175908227"/>
          <c:h val="0.5616117475836848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10" b="0" i="0" u="none" strike="noStrike" baseline="0">
              <a:solidFill>
                <a:srgbClr val="1A1A1A"/>
              </a:solidFill>
              <a:latin typeface="Verdana"/>
              <a:ea typeface="Verdana"/>
              <a:cs typeface="Verdana"/>
            </a:defRPr>
          </a:pPr>
          <a:endParaRPr lang="es-CO"/>
        </a:p>
      </c:txPr>
    </c:legend>
    <c:plotVisOnly val="0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s-CO"/>
    </a:p>
  </c:txPr>
  <c:printSettings>
    <c:headerFooter alignWithMargins="0"/>
    <c:pageMargins b="1" l="0.75" r="0.75" t="1" header="0.51180555555555551" footer="0.51180555555555551"/>
    <c:pageSetup firstPageNumber="0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47625</xdr:rowOff>
    </xdr:from>
    <xdr:to>
      <xdr:col>9</xdr:col>
      <xdr:colOff>3924300</xdr:colOff>
      <xdr:row>20</xdr:row>
      <xdr:rowOff>38100</xdr:rowOff>
    </xdr:to>
    <xdr:graphicFrame macro="">
      <xdr:nvGraphicFramePr>
        <xdr:cNvPr id="5122" name="Gráfico 1">
          <a:extLst>
            <a:ext uri="{FF2B5EF4-FFF2-40B4-BE49-F238E27FC236}">
              <a16:creationId xmlns:a16="http://schemas.microsoft.com/office/drawing/2014/main" id="{8046CB01-C276-3393-1C7B-A45932881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26"/>
  <sheetViews>
    <sheetView showGridLines="0" zoomScale="40" zoomScaleNormal="4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13" sqref="F13"/>
    </sheetView>
  </sheetViews>
  <sheetFormatPr baseColWidth="10" defaultColWidth="10.08984375" defaultRowHeight="12.6" x14ac:dyDescent="0.2"/>
  <cols>
    <col min="1" max="1" width="28.6328125" style="1" customWidth="1"/>
    <col min="2" max="4" width="6.26953125" style="1" customWidth="1"/>
    <col min="5" max="5" width="17.453125" style="1" bestFit="1" customWidth="1"/>
    <col min="6" max="53" width="6.26953125" style="1" customWidth="1"/>
    <col min="54" max="16384" width="10.08984375" style="1"/>
  </cols>
  <sheetData>
    <row r="1" spans="1:53" ht="28.35" customHeight="1" x14ac:dyDescent="0.2">
      <c r="A1" s="2" t="s">
        <v>0</v>
      </c>
      <c r="B1" s="3"/>
      <c r="C1" s="3"/>
      <c r="D1" s="3"/>
      <c r="E1" s="4"/>
      <c r="F1" s="5" t="s">
        <v>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7"/>
    </row>
    <row r="2" spans="1:53" ht="22.65" customHeight="1" x14ac:dyDescent="0.2">
      <c r="A2" s="66" t="s">
        <v>2</v>
      </c>
      <c r="B2" s="8" t="s">
        <v>3</v>
      </c>
      <c r="C2" s="9"/>
      <c r="D2" s="10"/>
      <c r="E2" s="67" t="s">
        <v>4</v>
      </c>
      <c r="F2" s="11" t="s">
        <v>5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4" t="s">
        <v>6</v>
      </c>
      <c r="T2" s="15"/>
      <c r="U2" s="15"/>
      <c r="V2" s="15"/>
      <c r="W2" s="15"/>
      <c r="X2" s="15"/>
      <c r="Y2" s="15"/>
      <c r="Z2" s="15"/>
      <c r="AA2" s="16"/>
      <c r="AB2" s="11" t="s">
        <v>7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3"/>
    </row>
    <row r="3" spans="1:53" ht="205.5" customHeight="1" x14ac:dyDescent="0.2">
      <c r="A3" s="66"/>
      <c r="B3" s="68" t="s">
        <v>8</v>
      </c>
      <c r="C3" s="68" t="s">
        <v>9</v>
      </c>
      <c r="D3" s="68" t="s">
        <v>10</v>
      </c>
      <c r="E3" s="67"/>
      <c r="F3" s="17" t="s">
        <v>11</v>
      </c>
      <c r="G3" s="18" t="s">
        <v>12</v>
      </c>
      <c r="H3" s="18" t="s">
        <v>13</v>
      </c>
      <c r="I3" s="18" t="s">
        <v>14</v>
      </c>
      <c r="J3" s="19" t="s">
        <v>15</v>
      </c>
      <c r="K3" s="18" t="s">
        <v>16</v>
      </c>
      <c r="L3" s="18" t="s">
        <v>17</v>
      </c>
      <c r="M3" s="18" t="s">
        <v>18</v>
      </c>
      <c r="N3" s="18" t="s">
        <v>19</v>
      </c>
      <c r="O3" s="18" t="s">
        <v>20</v>
      </c>
      <c r="P3" s="18" t="s">
        <v>21</v>
      </c>
      <c r="Q3" s="18" t="s">
        <v>22</v>
      </c>
      <c r="R3" s="20" t="s">
        <v>23</v>
      </c>
      <c r="S3" s="21" t="s">
        <v>24</v>
      </c>
      <c r="T3" s="22" t="s">
        <v>25</v>
      </c>
      <c r="U3" s="22" t="s">
        <v>26</v>
      </c>
      <c r="V3" s="22" t="s">
        <v>27</v>
      </c>
      <c r="W3" s="22" t="s">
        <v>28</v>
      </c>
      <c r="X3" s="22" t="s">
        <v>29</v>
      </c>
      <c r="Y3" s="22" t="s">
        <v>30</v>
      </c>
      <c r="Z3" s="22" t="s">
        <v>31</v>
      </c>
      <c r="AA3" s="23" t="s">
        <v>32</v>
      </c>
      <c r="AB3" s="17" t="s">
        <v>33</v>
      </c>
      <c r="AC3" s="18" t="s">
        <v>34</v>
      </c>
      <c r="AD3" s="18" t="s">
        <v>35</v>
      </c>
      <c r="AE3" s="19" t="s">
        <v>36</v>
      </c>
      <c r="AF3" s="19" t="s">
        <v>37</v>
      </c>
      <c r="AG3" s="18" t="s">
        <v>38</v>
      </c>
      <c r="AH3" s="19" t="s">
        <v>39</v>
      </c>
      <c r="AI3" s="19" t="s">
        <v>40</v>
      </c>
      <c r="AJ3" s="19" t="s">
        <v>41</v>
      </c>
      <c r="AK3" s="18" t="s">
        <v>42</v>
      </c>
      <c r="AL3" s="18" t="s">
        <v>43</v>
      </c>
      <c r="AM3" s="19" t="s">
        <v>44</v>
      </c>
      <c r="AN3" s="18" t="s">
        <v>45</v>
      </c>
      <c r="AO3" s="19" t="s">
        <v>46</v>
      </c>
      <c r="AP3" s="19" t="s">
        <v>47</v>
      </c>
      <c r="AQ3" s="18" t="s">
        <v>48</v>
      </c>
      <c r="AR3" s="18" t="s">
        <v>49</v>
      </c>
      <c r="AS3" s="18" t="s">
        <v>50</v>
      </c>
      <c r="AT3" s="18" t="s">
        <v>51</v>
      </c>
      <c r="AU3" s="18" t="s">
        <v>52</v>
      </c>
      <c r="AV3" s="19" t="s">
        <v>53</v>
      </c>
      <c r="AW3" s="19" t="s">
        <v>54</v>
      </c>
      <c r="AX3" s="19" t="s">
        <v>55</v>
      </c>
      <c r="AY3" s="18" t="s">
        <v>56</v>
      </c>
      <c r="AZ3" s="18" t="s">
        <v>57</v>
      </c>
      <c r="BA3" s="24" t="s">
        <v>58</v>
      </c>
    </row>
    <row r="4" spans="1:53" ht="28.35" customHeight="1" x14ac:dyDescent="0.2">
      <c r="A4" s="66"/>
      <c r="B4" s="68"/>
      <c r="C4" s="68"/>
      <c r="D4" s="68"/>
      <c r="E4" s="67"/>
      <c r="F4" s="25">
        <v>3</v>
      </c>
      <c r="G4" s="25">
        <v>1</v>
      </c>
      <c r="H4" s="25">
        <v>2</v>
      </c>
      <c r="I4" s="25">
        <v>4</v>
      </c>
      <c r="J4" s="25">
        <v>4</v>
      </c>
      <c r="K4" s="25">
        <v>4</v>
      </c>
      <c r="L4" s="25">
        <v>1</v>
      </c>
      <c r="M4" s="25">
        <v>4</v>
      </c>
      <c r="N4" s="25">
        <v>2</v>
      </c>
      <c r="O4" s="25">
        <v>3</v>
      </c>
      <c r="P4" s="25">
        <v>3</v>
      </c>
      <c r="Q4" s="25">
        <v>2</v>
      </c>
      <c r="R4" s="25">
        <v>3</v>
      </c>
      <c r="S4" s="26">
        <v>2</v>
      </c>
      <c r="T4" s="25">
        <v>2</v>
      </c>
      <c r="U4" s="25">
        <v>3</v>
      </c>
      <c r="V4" s="25">
        <v>1</v>
      </c>
      <c r="W4" s="25">
        <v>1</v>
      </c>
      <c r="X4" s="25">
        <v>2</v>
      </c>
      <c r="Y4" s="25">
        <v>2</v>
      </c>
      <c r="Z4" s="25">
        <v>2</v>
      </c>
      <c r="AA4" s="27">
        <v>2</v>
      </c>
      <c r="AB4" s="26">
        <v>2</v>
      </c>
      <c r="AC4" s="25">
        <v>2</v>
      </c>
      <c r="AD4" s="25">
        <v>2</v>
      </c>
      <c r="AE4" s="25">
        <v>2</v>
      </c>
      <c r="AF4" s="25">
        <v>2</v>
      </c>
      <c r="AG4" s="25">
        <v>2</v>
      </c>
      <c r="AH4" s="25">
        <v>3</v>
      </c>
      <c r="AI4" s="25">
        <v>2</v>
      </c>
      <c r="AJ4" s="25">
        <v>2</v>
      </c>
      <c r="AK4" s="25">
        <v>2</v>
      </c>
      <c r="AL4" s="25">
        <v>3</v>
      </c>
      <c r="AM4" s="25">
        <v>2</v>
      </c>
      <c r="AN4" s="25">
        <v>3</v>
      </c>
      <c r="AO4" s="25">
        <v>3</v>
      </c>
      <c r="AP4" s="25">
        <v>2</v>
      </c>
      <c r="AQ4" s="25">
        <v>3</v>
      </c>
      <c r="AR4" s="25">
        <v>2</v>
      </c>
      <c r="AS4" s="25">
        <v>2</v>
      </c>
      <c r="AT4" s="25">
        <v>2</v>
      </c>
      <c r="AU4" s="25">
        <v>2</v>
      </c>
      <c r="AV4" s="25">
        <v>2</v>
      </c>
      <c r="AW4" s="25">
        <v>2</v>
      </c>
      <c r="AX4" s="25">
        <v>3</v>
      </c>
      <c r="AY4" s="25">
        <v>2</v>
      </c>
      <c r="AZ4" s="25">
        <v>2</v>
      </c>
      <c r="BA4" s="27">
        <v>2</v>
      </c>
    </row>
    <row r="5" spans="1:53" ht="37.35" customHeight="1" x14ac:dyDescent="0.2">
      <c r="A5" s="28" t="s">
        <v>59</v>
      </c>
      <c r="B5" s="25"/>
      <c r="C5" s="25"/>
      <c r="D5" s="25"/>
      <c r="E5" s="27">
        <v>4</v>
      </c>
      <c r="F5" s="29">
        <f t="shared" ref="F5:O14" si="0">IF(OR($E5="",F$4=""),"",F$4*$E5)</f>
        <v>12</v>
      </c>
      <c r="G5" s="30">
        <f t="shared" si="0"/>
        <v>4</v>
      </c>
      <c r="H5" s="30">
        <f t="shared" si="0"/>
        <v>8</v>
      </c>
      <c r="I5" s="30">
        <f t="shared" si="0"/>
        <v>16</v>
      </c>
      <c r="J5" s="30">
        <f t="shared" si="0"/>
        <v>16</v>
      </c>
      <c r="K5" s="30">
        <f t="shared" si="0"/>
        <v>16</v>
      </c>
      <c r="L5" s="30">
        <f t="shared" si="0"/>
        <v>4</v>
      </c>
      <c r="M5" s="30">
        <f t="shared" si="0"/>
        <v>16</v>
      </c>
      <c r="N5" s="30">
        <f t="shared" si="0"/>
        <v>8</v>
      </c>
      <c r="O5" s="30">
        <f t="shared" si="0"/>
        <v>12</v>
      </c>
      <c r="P5" s="30">
        <f t="shared" ref="P5:Y14" si="1">IF(OR($E5="",P$4=""),"",P$4*$E5)</f>
        <v>12</v>
      </c>
      <c r="Q5" s="30">
        <f t="shared" si="1"/>
        <v>8</v>
      </c>
      <c r="R5" s="31">
        <f t="shared" si="1"/>
        <v>12</v>
      </c>
      <c r="S5" s="29">
        <f t="shared" si="1"/>
        <v>8</v>
      </c>
      <c r="T5" s="30">
        <f t="shared" si="1"/>
        <v>8</v>
      </c>
      <c r="U5" s="30">
        <f t="shared" si="1"/>
        <v>12</v>
      </c>
      <c r="V5" s="30">
        <f t="shared" si="1"/>
        <v>4</v>
      </c>
      <c r="W5" s="30">
        <f t="shared" si="1"/>
        <v>4</v>
      </c>
      <c r="X5" s="30">
        <f t="shared" si="1"/>
        <v>8</v>
      </c>
      <c r="Y5" s="30">
        <f t="shared" si="1"/>
        <v>8</v>
      </c>
      <c r="Z5" s="30">
        <f t="shared" ref="Z5:AI14" si="2">IF(OR($E5="",Z$4=""),"",Z$4*$E5)</f>
        <v>8</v>
      </c>
      <c r="AA5" s="31">
        <f t="shared" si="2"/>
        <v>8</v>
      </c>
      <c r="AB5" s="29">
        <f t="shared" si="2"/>
        <v>8</v>
      </c>
      <c r="AC5" s="30">
        <f t="shared" si="2"/>
        <v>8</v>
      </c>
      <c r="AD5" s="30">
        <f t="shared" si="2"/>
        <v>8</v>
      </c>
      <c r="AE5" s="30">
        <f t="shared" si="2"/>
        <v>8</v>
      </c>
      <c r="AF5" s="30">
        <f t="shared" si="2"/>
        <v>8</v>
      </c>
      <c r="AG5" s="30">
        <f t="shared" si="2"/>
        <v>8</v>
      </c>
      <c r="AH5" s="30">
        <f t="shared" si="2"/>
        <v>12</v>
      </c>
      <c r="AI5" s="30">
        <f t="shared" si="2"/>
        <v>8</v>
      </c>
      <c r="AJ5" s="30">
        <f t="shared" ref="AJ5:AS14" si="3">IF(OR($E5="",AJ$4=""),"",AJ$4*$E5)</f>
        <v>8</v>
      </c>
      <c r="AK5" s="30">
        <f t="shared" si="3"/>
        <v>8</v>
      </c>
      <c r="AL5" s="30">
        <f t="shared" si="3"/>
        <v>12</v>
      </c>
      <c r="AM5" s="30">
        <f t="shared" si="3"/>
        <v>8</v>
      </c>
      <c r="AN5" s="30">
        <f t="shared" si="3"/>
        <v>12</v>
      </c>
      <c r="AO5" s="30">
        <f t="shared" si="3"/>
        <v>12</v>
      </c>
      <c r="AP5" s="30">
        <f t="shared" si="3"/>
        <v>8</v>
      </c>
      <c r="AQ5" s="30">
        <f t="shared" si="3"/>
        <v>12</v>
      </c>
      <c r="AR5" s="30">
        <f t="shared" si="3"/>
        <v>8</v>
      </c>
      <c r="AS5" s="30">
        <f t="shared" si="3"/>
        <v>8</v>
      </c>
      <c r="AT5" s="30">
        <f t="shared" ref="AT5:BA14" si="4">IF(OR($E5="",AT$4=""),"",AT$4*$E5)</f>
        <v>8</v>
      </c>
      <c r="AU5" s="30">
        <f t="shared" si="4"/>
        <v>8</v>
      </c>
      <c r="AV5" s="30">
        <f t="shared" si="4"/>
        <v>8</v>
      </c>
      <c r="AW5" s="30">
        <f t="shared" si="4"/>
        <v>8</v>
      </c>
      <c r="AX5" s="30">
        <f t="shared" si="4"/>
        <v>12</v>
      </c>
      <c r="AY5" s="30">
        <f t="shared" si="4"/>
        <v>8</v>
      </c>
      <c r="AZ5" s="30">
        <f t="shared" si="4"/>
        <v>8</v>
      </c>
      <c r="BA5" s="31">
        <f t="shared" si="4"/>
        <v>8</v>
      </c>
    </row>
    <row r="6" spans="1:53" ht="37.35" customHeight="1" x14ac:dyDescent="0.2">
      <c r="A6" s="28" t="s">
        <v>60</v>
      </c>
      <c r="B6" s="25"/>
      <c r="C6" s="25"/>
      <c r="D6" s="25"/>
      <c r="E6" s="27">
        <v>4</v>
      </c>
      <c r="F6" s="29">
        <f t="shared" si="0"/>
        <v>12</v>
      </c>
      <c r="G6" s="30">
        <f t="shared" si="0"/>
        <v>4</v>
      </c>
      <c r="H6" s="30">
        <f t="shared" si="0"/>
        <v>8</v>
      </c>
      <c r="I6" s="30">
        <f t="shared" si="0"/>
        <v>16</v>
      </c>
      <c r="J6" s="30">
        <f t="shared" si="0"/>
        <v>16</v>
      </c>
      <c r="K6" s="30">
        <f t="shared" si="0"/>
        <v>16</v>
      </c>
      <c r="L6" s="30">
        <f t="shared" si="0"/>
        <v>4</v>
      </c>
      <c r="M6" s="30">
        <f t="shared" si="0"/>
        <v>16</v>
      </c>
      <c r="N6" s="30">
        <f t="shared" si="0"/>
        <v>8</v>
      </c>
      <c r="O6" s="30">
        <f t="shared" si="0"/>
        <v>12</v>
      </c>
      <c r="P6" s="30">
        <f t="shared" si="1"/>
        <v>12</v>
      </c>
      <c r="Q6" s="30">
        <f t="shared" si="1"/>
        <v>8</v>
      </c>
      <c r="R6" s="31">
        <f t="shared" si="1"/>
        <v>12</v>
      </c>
      <c r="S6" s="29">
        <f t="shared" si="1"/>
        <v>8</v>
      </c>
      <c r="T6" s="30">
        <f t="shared" si="1"/>
        <v>8</v>
      </c>
      <c r="U6" s="30">
        <f t="shared" si="1"/>
        <v>12</v>
      </c>
      <c r="V6" s="30">
        <f t="shared" si="1"/>
        <v>4</v>
      </c>
      <c r="W6" s="30">
        <f t="shared" si="1"/>
        <v>4</v>
      </c>
      <c r="X6" s="30">
        <f t="shared" si="1"/>
        <v>8</v>
      </c>
      <c r="Y6" s="30">
        <f t="shared" si="1"/>
        <v>8</v>
      </c>
      <c r="Z6" s="30">
        <f t="shared" si="2"/>
        <v>8</v>
      </c>
      <c r="AA6" s="31">
        <f t="shared" si="2"/>
        <v>8</v>
      </c>
      <c r="AB6" s="29">
        <f t="shared" si="2"/>
        <v>8</v>
      </c>
      <c r="AC6" s="30">
        <f t="shared" si="2"/>
        <v>8</v>
      </c>
      <c r="AD6" s="30">
        <f t="shared" si="2"/>
        <v>8</v>
      </c>
      <c r="AE6" s="30">
        <f t="shared" si="2"/>
        <v>8</v>
      </c>
      <c r="AF6" s="30">
        <f t="shared" si="2"/>
        <v>8</v>
      </c>
      <c r="AG6" s="30">
        <f t="shared" si="2"/>
        <v>8</v>
      </c>
      <c r="AH6" s="30">
        <f t="shared" si="2"/>
        <v>12</v>
      </c>
      <c r="AI6" s="30">
        <f t="shared" si="2"/>
        <v>8</v>
      </c>
      <c r="AJ6" s="30">
        <f t="shared" si="3"/>
        <v>8</v>
      </c>
      <c r="AK6" s="30">
        <f t="shared" si="3"/>
        <v>8</v>
      </c>
      <c r="AL6" s="30">
        <f t="shared" si="3"/>
        <v>12</v>
      </c>
      <c r="AM6" s="30">
        <f t="shared" si="3"/>
        <v>8</v>
      </c>
      <c r="AN6" s="30">
        <f t="shared" si="3"/>
        <v>12</v>
      </c>
      <c r="AO6" s="30">
        <f t="shared" si="3"/>
        <v>12</v>
      </c>
      <c r="AP6" s="30">
        <f t="shared" si="3"/>
        <v>8</v>
      </c>
      <c r="AQ6" s="30">
        <f t="shared" si="3"/>
        <v>12</v>
      </c>
      <c r="AR6" s="30">
        <f t="shared" si="3"/>
        <v>8</v>
      </c>
      <c r="AS6" s="30">
        <f t="shared" si="3"/>
        <v>8</v>
      </c>
      <c r="AT6" s="30">
        <f t="shared" si="4"/>
        <v>8</v>
      </c>
      <c r="AU6" s="30">
        <f t="shared" si="4"/>
        <v>8</v>
      </c>
      <c r="AV6" s="30">
        <f t="shared" si="4"/>
        <v>8</v>
      </c>
      <c r="AW6" s="30">
        <f t="shared" si="4"/>
        <v>8</v>
      </c>
      <c r="AX6" s="30">
        <f t="shared" si="4"/>
        <v>12</v>
      </c>
      <c r="AY6" s="30">
        <f t="shared" si="4"/>
        <v>8</v>
      </c>
      <c r="AZ6" s="30">
        <f t="shared" si="4"/>
        <v>8</v>
      </c>
      <c r="BA6" s="31">
        <f t="shared" si="4"/>
        <v>8</v>
      </c>
    </row>
    <row r="7" spans="1:53" ht="37.35" customHeight="1" x14ac:dyDescent="0.2">
      <c r="A7" s="28" t="s">
        <v>61</v>
      </c>
      <c r="B7" s="25"/>
      <c r="C7" s="25"/>
      <c r="D7" s="25"/>
      <c r="E7" s="27">
        <v>3</v>
      </c>
      <c r="F7" s="29">
        <f t="shared" si="0"/>
        <v>9</v>
      </c>
      <c r="G7" s="30">
        <f t="shared" si="0"/>
        <v>3</v>
      </c>
      <c r="H7" s="30">
        <f t="shared" si="0"/>
        <v>6</v>
      </c>
      <c r="I7" s="30">
        <f t="shared" si="0"/>
        <v>12</v>
      </c>
      <c r="J7" s="30">
        <f t="shared" si="0"/>
        <v>12</v>
      </c>
      <c r="K7" s="30">
        <f t="shared" si="0"/>
        <v>12</v>
      </c>
      <c r="L7" s="30">
        <f t="shared" si="0"/>
        <v>3</v>
      </c>
      <c r="M7" s="30">
        <f t="shared" si="0"/>
        <v>12</v>
      </c>
      <c r="N7" s="30">
        <f t="shared" si="0"/>
        <v>6</v>
      </c>
      <c r="O7" s="30">
        <f t="shared" si="0"/>
        <v>9</v>
      </c>
      <c r="P7" s="30">
        <f t="shared" si="1"/>
        <v>9</v>
      </c>
      <c r="Q7" s="30">
        <f t="shared" si="1"/>
        <v>6</v>
      </c>
      <c r="R7" s="31">
        <f t="shared" si="1"/>
        <v>9</v>
      </c>
      <c r="S7" s="29">
        <f t="shared" si="1"/>
        <v>6</v>
      </c>
      <c r="T7" s="30">
        <f t="shared" si="1"/>
        <v>6</v>
      </c>
      <c r="U7" s="30">
        <f t="shared" si="1"/>
        <v>9</v>
      </c>
      <c r="V7" s="30">
        <f t="shared" si="1"/>
        <v>3</v>
      </c>
      <c r="W7" s="30">
        <f t="shared" si="1"/>
        <v>3</v>
      </c>
      <c r="X7" s="30">
        <f t="shared" si="1"/>
        <v>6</v>
      </c>
      <c r="Y7" s="30">
        <f t="shared" si="1"/>
        <v>6</v>
      </c>
      <c r="Z7" s="30">
        <f t="shared" si="2"/>
        <v>6</v>
      </c>
      <c r="AA7" s="31">
        <f t="shared" si="2"/>
        <v>6</v>
      </c>
      <c r="AB7" s="29">
        <f t="shared" si="2"/>
        <v>6</v>
      </c>
      <c r="AC7" s="30">
        <f t="shared" si="2"/>
        <v>6</v>
      </c>
      <c r="AD7" s="30">
        <f t="shared" si="2"/>
        <v>6</v>
      </c>
      <c r="AE7" s="30">
        <f t="shared" si="2"/>
        <v>6</v>
      </c>
      <c r="AF7" s="30">
        <f t="shared" si="2"/>
        <v>6</v>
      </c>
      <c r="AG7" s="30">
        <f t="shared" si="2"/>
        <v>6</v>
      </c>
      <c r="AH7" s="30">
        <f t="shared" si="2"/>
        <v>9</v>
      </c>
      <c r="AI7" s="30">
        <f t="shared" si="2"/>
        <v>6</v>
      </c>
      <c r="AJ7" s="30">
        <f t="shared" si="3"/>
        <v>6</v>
      </c>
      <c r="AK7" s="30">
        <f t="shared" si="3"/>
        <v>6</v>
      </c>
      <c r="AL7" s="30">
        <f t="shared" si="3"/>
        <v>9</v>
      </c>
      <c r="AM7" s="30">
        <f t="shared" si="3"/>
        <v>6</v>
      </c>
      <c r="AN7" s="30">
        <f t="shared" si="3"/>
        <v>9</v>
      </c>
      <c r="AO7" s="30">
        <f t="shared" si="3"/>
        <v>9</v>
      </c>
      <c r="AP7" s="30">
        <f t="shared" si="3"/>
        <v>6</v>
      </c>
      <c r="AQ7" s="30">
        <f t="shared" si="3"/>
        <v>9</v>
      </c>
      <c r="AR7" s="30">
        <f t="shared" si="3"/>
        <v>6</v>
      </c>
      <c r="AS7" s="30">
        <f t="shared" si="3"/>
        <v>6</v>
      </c>
      <c r="AT7" s="30">
        <f t="shared" si="4"/>
        <v>6</v>
      </c>
      <c r="AU7" s="30">
        <f t="shared" si="4"/>
        <v>6</v>
      </c>
      <c r="AV7" s="30">
        <f t="shared" si="4"/>
        <v>6</v>
      </c>
      <c r="AW7" s="30">
        <f t="shared" si="4"/>
        <v>6</v>
      </c>
      <c r="AX7" s="30">
        <f t="shared" si="4"/>
        <v>9</v>
      </c>
      <c r="AY7" s="30">
        <f t="shared" si="4"/>
        <v>6</v>
      </c>
      <c r="AZ7" s="30">
        <f t="shared" si="4"/>
        <v>6</v>
      </c>
      <c r="BA7" s="31">
        <f t="shared" si="4"/>
        <v>6</v>
      </c>
    </row>
    <row r="8" spans="1:53" ht="37.35" customHeight="1" x14ac:dyDescent="0.2">
      <c r="A8" s="28" t="s">
        <v>62</v>
      </c>
      <c r="B8" s="25"/>
      <c r="C8" s="25"/>
      <c r="D8" s="25"/>
      <c r="E8" s="27">
        <v>1</v>
      </c>
      <c r="F8" s="29">
        <f t="shared" si="0"/>
        <v>3</v>
      </c>
      <c r="G8" s="30">
        <f t="shared" si="0"/>
        <v>1</v>
      </c>
      <c r="H8" s="30">
        <f t="shared" si="0"/>
        <v>2</v>
      </c>
      <c r="I8" s="30">
        <f t="shared" si="0"/>
        <v>4</v>
      </c>
      <c r="J8" s="30">
        <f t="shared" si="0"/>
        <v>4</v>
      </c>
      <c r="K8" s="30">
        <f t="shared" si="0"/>
        <v>4</v>
      </c>
      <c r="L8" s="30">
        <f t="shared" si="0"/>
        <v>1</v>
      </c>
      <c r="M8" s="30">
        <f t="shared" si="0"/>
        <v>4</v>
      </c>
      <c r="N8" s="30">
        <f t="shared" si="0"/>
        <v>2</v>
      </c>
      <c r="O8" s="30">
        <f t="shared" si="0"/>
        <v>3</v>
      </c>
      <c r="P8" s="30">
        <f t="shared" si="1"/>
        <v>3</v>
      </c>
      <c r="Q8" s="30">
        <f t="shared" si="1"/>
        <v>2</v>
      </c>
      <c r="R8" s="31">
        <f t="shared" si="1"/>
        <v>3</v>
      </c>
      <c r="S8" s="29">
        <f t="shared" si="1"/>
        <v>2</v>
      </c>
      <c r="T8" s="30">
        <f t="shared" si="1"/>
        <v>2</v>
      </c>
      <c r="U8" s="30">
        <f t="shared" si="1"/>
        <v>3</v>
      </c>
      <c r="V8" s="30">
        <f t="shared" si="1"/>
        <v>1</v>
      </c>
      <c r="W8" s="30">
        <f t="shared" si="1"/>
        <v>1</v>
      </c>
      <c r="X8" s="30">
        <f t="shared" si="1"/>
        <v>2</v>
      </c>
      <c r="Y8" s="30">
        <f t="shared" si="1"/>
        <v>2</v>
      </c>
      <c r="Z8" s="30">
        <f t="shared" si="2"/>
        <v>2</v>
      </c>
      <c r="AA8" s="31">
        <f t="shared" si="2"/>
        <v>2</v>
      </c>
      <c r="AB8" s="29">
        <f t="shared" si="2"/>
        <v>2</v>
      </c>
      <c r="AC8" s="30">
        <f t="shared" si="2"/>
        <v>2</v>
      </c>
      <c r="AD8" s="30">
        <f t="shared" si="2"/>
        <v>2</v>
      </c>
      <c r="AE8" s="30">
        <f t="shared" si="2"/>
        <v>2</v>
      </c>
      <c r="AF8" s="30">
        <f t="shared" si="2"/>
        <v>2</v>
      </c>
      <c r="AG8" s="30">
        <f t="shared" si="2"/>
        <v>2</v>
      </c>
      <c r="AH8" s="30">
        <f t="shared" si="2"/>
        <v>3</v>
      </c>
      <c r="AI8" s="30">
        <f t="shared" si="2"/>
        <v>2</v>
      </c>
      <c r="AJ8" s="30">
        <f t="shared" si="3"/>
        <v>2</v>
      </c>
      <c r="AK8" s="30">
        <f t="shared" si="3"/>
        <v>2</v>
      </c>
      <c r="AL8" s="30">
        <f t="shared" si="3"/>
        <v>3</v>
      </c>
      <c r="AM8" s="30">
        <f t="shared" si="3"/>
        <v>2</v>
      </c>
      <c r="AN8" s="30">
        <f t="shared" si="3"/>
        <v>3</v>
      </c>
      <c r="AO8" s="30">
        <f t="shared" si="3"/>
        <v>3</v>
      </c>
      <c r="AP8" s="30">
        <f t="shared" si="3"/>
        <v>2</v>
      </c>
      <c r="AQ8" s="30">
        <f t="shared" si="3"/>
        <v>3</v>
      </c>
      <c r="AR8" s="30">
        <f t="shared" si="3"/>
        <v>2</v>
      </c>
      <c r="AS8" s="30">
        <f t="shared" si="3"/>
        <v>2</v>
      </c>
      <c r="AT8" s="30">
        <f t="shared" si="4"/>
        <v>2</v>
      </c>
      <c r="AU8" s="30">
        <f t="shared" si="4"/>
        <v>2</v>
      </c>
      <c r="AV8" s="30">
        <f t="shared" si="4"/>
        <v>2</v>
      </c>
      <c r="AW8" s="30">
        <f t="shared" si="4"/>
        <v>2</v>
      </c>
      <c r="AX8" s="30">
        <f t="shared" si="4"/>
        <v>3</v>
      </c>
      <c r="AY8" s="30">
        <f t="shared" si="4"/>
        <v>2</v>
      </c>
      <c r="AZ8" s="30">
        <f t="shared" si="4"/>
        <v>2</v>
      </c>
      <c r="BA8" s="31">
        <f t="shared" si="4"/>
        <v>2</v>
      </c>
    </row>
    <row r="9" spans="1:53" ht="37.35" customHeight="1" x14ac:dyDescent="0.2">
      <c r="A9" s="28" t="s">
        <v>63</v>
      </c>
      <c r="B9" s="25"/>
      <c r="C9" s="25"/>
      <c r="D9" s="25"/>
      <c r="E9" s="27">
        <v>2</v>
      </c>
      <c r="F9" s="29">
        <f t="shared" si="0"/>
        <v>6</v>
      </c>
      <c r="G9" s="30">
        <f t="shared" si="0"/>
        <v>2</v>
      </c>
      <c r="H9" s="30">
        <f t="shared" si="0"/>
        <v>4</v>
      </c>
      <c r="I9" s="30">
        <f t="shared" si="0"/>
        <v>8</v>
      </c>
      <c r="J9" s="30">
        <f t="shared" si="0"/>
        <v>8</v>
      </c>
      <c r="K9" s="30">
        <f t="shared" si="0"/>
        <v>8</v>
      </c>
      <c r="L9" s="30">
        <f t="shared" si="0"/>
        <v>2</v>
      </c>
      <c r="M9" s="30">
        <f t="shared" si="0"/>
        <v>8</v>
      </c>
      <c r="N9" s="30">
        <f t="shared" si="0"/>
        <v>4</v>
      </c>
      <c r="O9" s="30">
        <f t="shared" si="0"/>
        <v>6</v>
      </c>
      <c r="P9" s="30">
        <f t="shared" si="1"/>
        <v>6</v>
      </c>
      <c r="Q9" s="30">
        <f t="shared" si="1"/>
        <v>4</v>
      </c>
      <c r="R9" s="31">
        <f t="shared" si="1"/>
        <v>6</v>
      </c>
      <c r="S9" s="29">
        <f t="shared" si="1"/>
        <v>4</v>
      </c>
      <c r="T9" s="30">
        <f t="shared" si="1"/>
        <v>4</v>
      </c>
      <c r="U9" s="30">
        <f t="shared" si="1"/>
        <v>6</v>
      </c>
      <c r="V9" s="30">
        <f t="shared" si="1"/>
        <v>2</v>
      </c>
      <c r="W9" s="30">
        <f t="shared" si="1"/>
        <v>2</v>
      </c>
      <c r="X9" s="30">
        <f t="shared" si="1"/>
        <v>4</v>
      </c>
      <c r="Y9" s="30">
        <f t="shared" si="1"/>
        <v>4</v>
      </c>
      <c r="Z9" s="30">
        <f t="shared" si="2"/>
        <v>4</v>
      </c>
      <c r="AA9" s="31">
        <f t="shared" si="2"/>
        <v>4</v>
      </c>
      <c r="AB9" s="29">
        <f t="shared" si="2"/>
        <v>4</v>
      </c>
      <c r="AC9" s="30">
        <f t="shared" si="2"/>
        <v>4</v>
      </c>
      <c r="AD9" s="30">
        <f t="shared" si="2"/>
        <v>4</v>
      </c>
      <c r="AE9" s="30">
        <f t="shared" si="2"/>
        <v>4</v>
      </c>
      <c r="AF9" s="30">
        <f t="shared" si="2"/>
        <v>4</v>
      </c>
      <c r="AG9" s="30">
        <f t="shared" si="2"/>
        <v>4</v>
      </c>
      <c r="AH9" s="30">
        <f t="shared" si="2"/>
        <v>6</v>
      </c>
      <c r="AI9" s="30">
        <f t="shared" si="2"/>
        <v>4</v>
      </c>
      <c r="AJ9" s="30">
        <f t="shared" si="3"/>
        <v>4</v>
      </c>
      <c r="AK9" s="30">
        <f t="shared" si="3"/>
        <v>4</v>
      </c>
      <c r="AL9" s="30">
        <f t="shared" si="3"/>
        <v>6</v>
      </c>
      <c r="AM9" s="30">
        <f t="shared" si="3"/>
        <v>4</v>
      </c>
      <c r="AN9" s="30">
        <f t="shared" si="3"/>
        <v>6</v>
      </c>
      <c r="AO9" s="30">
        <f t="shared" si="3"/>
        <v>6</v>
      </c>
      <c r="AP9" s="30">
        <f t="shared" si="3"/>
        <v>4</v>
      </c>
      <c r="AQ9" s="30">
        <f t="shared" si="3"/>
        <v>6</v>
      </c>
      <c r="AR9" s="30">
        <f t="shared" si="3"/>
        <v>4</v>
      </c>
      <c r="AS9" s="30">
        <f t="shared" si="3"/>
        <v>4</v>
      </c>
      <c r="AT9" s="30">
        <f t="shared" si="4"/>
        <v>4</v>
      </c>
      <c r="AU9" s="30">
        <f t="shared" si="4"/>
        <v>4</v>
      </c>
      <c r="AV9" s="30">
        <f t="shared" si="4"/>
        <v>4</v>
      </c>
      <c r="AW9" s="30">
        <f t="shared" si="4"/>
        <v>4</v>
      </c>
      <c r="AX9" s="30">
        <f t="shared" si="4"/>
        <v>6</v>
      </c>
      <c r="AY9" s="30">
        <f t="shared" si="4"/>
        <v>4</v>
      </c>
      <c r="AZ9" s="30">
        <f t="shared" si="4"/>
        <v>4</v>
      </c>
      <c r="BA9" s="31">
        <f t="shared" si="4"/>
        <v>4</v>
      </c>
    </row>
    <row r="10" spans="1:53" ht="37.35" customHeight="1" x14ac:dyDescent="0.2">
      <c r="A10" s="28" t="s">
        <v>64</v>
      </c>
      <c r="B10" s="25"/>
      <c r="C10" s="25"/>
      <c r="D10" s="25"/>
      <c r="E10" s="27">
        <v>1</v>
      </c>
      <c r="F10" s="29">
        <f t="shared" si="0"/>
        <v>3</v>
      </c>
      <c r="G10" s="30">
        <f t="shared" si="0"/>
        <v>1</v>
      </c>
      <c r="H10" s="30">
        <f t="shared" si="0"/>
        <v>2</v>
      </c>
      <c r="I10" s="30">
        <f t="shared" si="0"/>
        <v>4</v>
      </c>
      <c r="J10" s="30">
        <f t="shared" si="0"/>
        <v>4</v>
      </c>
      <c r="K10" s="30">
        <f t="shared" si="0"/>
        <v>4</v>
      </c>
      <c r="L10" s="30">
        <f t="shared" si="0"/>
        <v>1</v>
      </c>
      <c r="M10" s="30">
        <f t="shared" si="0"/>
        <v>4</v>
      </c>
      <c r="N10" s="30">
        <f t="shared" si="0"/>
        <v>2</v>
      </c>
      <c r="O10" s="30">
        <f t="shared" si="0"/>
        <v>3</v>
      </c>
      <c r="P10" s="30">
        <f t="shared" si="1"/>
        <v>3</v>
      </c>
      <c r="Q10" s="30">
        <f t="shared" si="1"/>
        <v>2</v>
      </c>
      <c r="R10" s="31">
        <f t="shared" si="1"/>
        <v>3</v>
      </c>
      <c r="S10" s="29">
        <f t="shared" si="1"/>
        <v>2</v>
      </c>
      <c r="T10" s="30">
        <f t="shared" si="1"/>
        <v>2</v>
      </c>
      <c r="U10" s="30">
        <f t="shared" si="1"/>
        <v>3</v>
      </c>
      <c r="V10" s="30">
        <f t="shared" si="1"/>
        <v>1</v>
      </c>
      <c r="W10" s="30">
        <f t="shared" si="1"/>
        <v>1</v>
      </c>
      <c r="X10" s="30">
        <f t="shared" si="1"/>
        <v>2</v>
      </c>
      <c r="Y10" s="30">
        <f t="shared" si="1"/>
        <v>2</v>
      </c>
      <c r="Z10" s="30">
        <f t="shared" si="2"/>
        <v>2</v>
      </c>
      <c r="AA10" s="31">
        <f t="shared" si="2"/>
        <v>2</v>
      </c>
      <c r="AB10" s="29">
        <f t="shared" si="2"/>
        <v>2</v>
      </c>
      <c r="AC10" s="30">
        <f t="shared" si="2"/>
        <v>2</v>
      </c>
      <c r="AD10" s="30">
        <f t="shared" si="2"/>
        <v>2</v>
      </c>
      <c r="AE10" s="30">
        <f t="shared" si="2"/>
        <v>2</v>
      </c>
      <c r="AF10" s="30">
        <f t="shared" si="2"/>
        <v>2</v>
      </c>
      <c r="AG10" s="30">
        <f t="shared" si="2"/>
        <v>2</v>
      </c>
      <c r="AH10" s="30">
        <f t="shared" si="2"/>
        <v>3</v>
      </c>
      <c r="AI10" s="30">
        <f t="shared" si="2"/>
        <v>2</v>
      </c>
      <c r="AJ10" s="30">
        <f t="shared" si="3"/>
        <v>2</v>
      </c>
      <c r="AK10" s="30">
        <f t="shared" si="3"/>
        <v>2</v>
      </c>
      <c r="AL10" s="30">
        <f t="shared" si="3"/>
        <v>3</v>
      </c>
      <c r="AM10" s="30">
        <f t="shared" si="3"/>
        <v>2</v>
      </c>
      <c r="AN10" s="30">
        <f t="shared" si="3"/>
        <v>3</v>
      </c>
      <c r="AO10" s="30">
        <f t="shared" si="3"/>
        <v>3</v>
      </c>
      <c r="AP10" s="30">
        <f t="shared" si="3"/>
        <v>2</v>
      </c>
      <c r="AQ10" s="30">
        <f t="shared" si="3"/>
        <v>3</v>
      </c>
      <c r="AR10" s="30">
        <f t="shared" si="3"/>
        <v>2</v>
      </c>
      <c r="AS10" s="30">
        <f t="shared" si="3"/>
        <v>2</v>
      </c>
      <c r="AT10" s="30">
        <f t="shared" si="4"/>
        <v>2</v>
      </c>
      <c r="AU10" s="30">
        <f t="shared" si="4"/>
        <v>2</v>
      </c>
      <c r="AV10" s="30">
        <f t="shared" si="4"/>
        <v>2</v>
      </c>
      <c r="AW10" s="30">
        <f t="shared" si="4"/>
        <v>2</v>
      </c>
      <c r="AX10" s="30">
        <f t="shared" si="4"/>
        <v>3</v>
      </c>
      <c r="AY10" s="30">
        <f t="shared" si="4"/>
        <v>2</v>
      </c>
      <c r="AZ10" s="30">
        <f t="shared" si="4"/>
        <v>2</v>
      </c>
      <c r="BA10" s="31">
        <f t="shared" si="4"/>
        <v>2</v>
      </c>
    </row>
    <row r="11" spans="1:53" ht="37.35" customHeight="1" x14ac:dyDescent="0.2">
      <c r="A11" s="28" t="s">
        <v>65</v>
      </c>
      <c r="B11" s="25"/>
      <c r="C11" s="25"/>
      <c r="D11" s="25"/>
      <c r="E11" s="27">
        <v>2</v>
      </c>
      <c r="F11" s="29">
        <f t="shared" si="0"/>
        <v>6</v>
      </c>
      <c r="G11" s="30">
        <f t="shared" si="0"/>
        <v>2</v>
      </c>
      <c r="H11" s="30">
        <f t="shared" si="0"/>
        <v>4</v>
      </c>
      <c r="I11" s="30">
        <f t="shared" si="0"/>
        <v>8</v>
      </c>
      <c r="J11" s="30">
        <f t="shared" si="0"/>
        <v>8</v>
      </c>
      <c r="K11" s="30">
        <f t="shared" si="0"/>
        <v>8</v>
      </c>
      <c r="L11" s="30">
        <f t="shared" si="0"/>
        <v>2</v>
      </c>
      <c r="M11" s="30">
        <f t="shared" si="0"/>
        <v>8</v>
      </c>
      <c r="N11" s="30">
        <f t="shared" si="0"/>
        <v>4</v>
      </c>
      <c r="O11" s="30">
        <f t="shared" si="0"/>
        <v>6</v>
      </c>
      <c r="P11" s="30">
        <f t="shared" si="1"/>
        <v>6</v>
      </c>
      <c r="Q11" s="30">
        <f t="shared" si="1"/>
        <v>4</v>
      </c>
      <c r="R11" s="31">
        <f t="shared" si="1"/>
        <v>6</v>
      </c>
      <c r="S11" s="29">
        <f t="shared" si="1"/>
        <v>4</v>
      </c>
      <c r="T11" s="30">
        <f t="shared" si="1"/>
        <v>4</v>
      </c>
      <c r="U11" s="30">
        <f t="shared" si="1"/>
        <v>6</v>
      </c>
      <c r="V11" s="30">
        <f t="shared" si="1"/>
        <v>2</v>
      </c>
      <c r="W11" s="30">
        <f t="shared" si="1"/>
        <v>2</v>
      </c>
      <c r="X11" s="30">
        <f t="shared" si="1"/>
        <v>4</v>
      </c>
      <c r="Y11" s="30">
        <f t="shared" si="1"/>
        <v>4</v>
      </c>
      <c r="Z11" s="30">
        <f t="shared" si="2"/>
        <v>4</v>
      </c>
      <c r="AA11" s="31">
        <f t="shared" si="2"/>
        <v>4</v>
      </c>
      <c r="AB11" s="29">
        <f t="shared" si="2"/>
        <v>4</v>
      </c>
      <c r="AC11" s="30">
        <f t="shared" si="2"/>
        <v>4</v>
      </c>
      <c r="AD11" s="30">
        <f t="shared" si="2"/>
        <v>4</v>
      </c>
      <c r="AE11" s="30">
        <f t="shared" si="2"/>
        <v>4</v>
      </c>
      <c r="AF11" s="30">
        <f t="shared" si="2"/>
        <v>4</v>
      </c>
      <c r="AG11" s="30">
        <f t="shared" si="2"/>
        <v>4</v>
      </c>
      <c r="AH11" s="30">
        <f t="shared" si="2"/>
        <v>6</v>
      </c>
      <c r="AI11" s="30">
        <f t="shared" si="2"/>
        <v>4</v>
      </c>
      <c r="AJ11" s="30">
        <f t="shared" si="3"/>
        <v>4</v>
      </c>
      <c r="AK11" s="30">
        <f t="shared" si="3"/>
        <v>4</v>
      </c>
      <c r="AL11" s="30">
        <f t="shared" si="3"/>
        <v>6</v>
      </c>
      <c r="AM11" s="30">
        <f t="shared" si="3"/>
        <v>4</v>
      </c>
      <c r="AN11" s="30">
        <f t="shared" si="3"/>
        <v>6</v>
      </c>
      <c r="AO11" s="30">
        <f t="shared" si="3"/>
        <v>6</v>
      </c>
      <c r="AP11" s="30">
        <f t="shared" si="3"/>
        <v>4</v>
      </c>
      <c r="AQ11" s="30">
        <f t="shared" si="3"/>
        <v>6</v>
      </c>
      <c r="AR11" s="30">
        <f t="shared" si="3"/>
        <v>4</v>
      </c>
      <c r="AS11" s="30">
        <f t="shared" si="3"/>
        <v>4</v>
      </c>
      <c r="AT11" s="30">
        <f t="shared" si="4"/>
        <v>4</v>
      </c>
      <c r="AU11" s="30">
        <f t="shared" si="4"/>
        <v>4</v>
      </c>
      <c r="AV11" s="30">
        <f t="shared" si="4"/>
        <v>4</v>
      </c>
      <c r="AW11" s="30">
        <f t="shared" si="4"/>
        <v>4</v>
      </c>
      <c r="AX11" s="30">
        <f t="shared" si="4"/>
        <v>6</v>
      </c>
      <c r="AY11" s="30">
        <f t="shared" si="4"/>
        <v>4</v>
      </c>
      <c r="AZ11" s="30">
        <f t="shared" si="4"/>
        <v>4</v>
      </c>
      <c r="BA11" s="31">
        <f t="shared" si="4"/>
        <v>4</v>
      </c>
    </row>
    <row r="12" spans="1:53" ht="37.35" customHeight="1" x14ac:dyDescent="0.2">
      <c r="A12" s="28" t="s">
        <v>66</v>
      </c>
      <c r="B12" s="25"/>
      <c r="C12" s="25"/>
      <c r="D12" s="25"/>
      <c r="E12" s="27">
        <v>3</v>
      </c>
      <c r="F12" s="29">
        <f t="shared" si="0"/>
        <v>9</v>
      </c>
      <c r="G12" s="30">
        <f t="shared" si="0"/>
        <v>3</v>
      </c>
      <c r="H12" s="30">
        <f t="shared" si="0"/>
        <v>6</v>
      </c>
      <c r="I12" s="30">
        <f t="shared" si="0"/>
        <v>12</v>
      </c>
      <c r="J12" s="30">
        <f t="shared" si="0"/>
        <v>12</v>
      </c>
      <c r="K12" s="30">
        <f t="shared" si="0"/>
        <v>12</v>
      </c>
      <c r="L12" s="30">
        <f t="shared" si="0"/>
        <v>3</v>
      </c>
      <c r="M12" s="30">
        <f t="shared" si="0"/>
        <v>12</v>
      </c>
      <c r="N12" s="30">
        <f t="shared" si="0"/>
        <v>6</v>
      </c>
      <c r="O12" s="30">
        <f t="shared" si="0"/>
        <v>9</v>
      </c>
      <c r="P12" s="30">
        <f t="shared" si="1"/>
        <v>9</v>
      </c>
      <c r="Q12" s="30">
        <f t="shared" si="1"/>
        <v>6</v>
      </c>
      <c r="R12" s="31">
        <f t="shared" si="1"/>
        <v>9</v>
      </c>
      <c r="S12" s="29">
        <f t="shared" si="1"/>
        <v>6</v>
      </c>
      <c r="T12" s="30">
        <f t="shared" si="1"/>
        <v>6</v>
      </c>
      <c r="U12" s="30">
        <f t="shared" si="1"/>
        <v>9</v>
      </c>
      <c r="V12" s="30">
        <f t="shared" si="1"/>
        <v>3</v>
      </c>
      <c r="W12" s="30">
        <f t="shared" si="1"/>
        <v>3</v>
      </c>
      <c r="X12" s="30">
        <f t="shared" si="1"/>
        <v>6</v>
      </c>
      <c r="Y12" s="30">
        <f t="shared" si="1"/>
        <v>6</v>
      </c>
      <c r="Z12" s="30">
        <f t="shared" si="2"/>
        <v>6</v>
      </c>
      <c r="AA12" s="31">
        <f t="shared" si="2"/>
        <v>6</v>
      </c>
      <c r="AB12" s="29">
        <f t="shared" si="2"/>
        <v>6</v>
      </c>
      <c r="AC12" s="30">
        <f t="shared" si="2"/>
        <v>6</v>
      </c>
      <c r="AD12" s="30">
        <f t="shared" si="2"/>
        <v>6</v>
      </c>
      <c r="AE12" s="30">
        <f t="shared" si="2"/>
        <v>6</v>
      </c>
      <c r="AF12" s="30">
        <f t="shared" si="2"/>
        <v>6</v>
      </c>
      <c r="AG12" s="30">
        <f t="shared" si="2"/>
        <v>6</v>
      </c>
      <c r="AH12" s="30">
        <f t="shared" si="2"/>
        <v>9</v>
      </c>
      <c r="AI12" s="30">
        <f t="shared" si="2"/>
        <v>6</v>
      </c>
      <c r="AJ12" s="30">
        <f t="shared" si="3"/>
        <v>6</v>
      </c>
      <c r="AK12" s="30">
        <f t="shared" si="3"/>
        <v>6</v>
      </c>
      <c r="AL12" s="30">
        <f t="shared" si="3"/>
        <v>9</v>
      </c>
      <c r="AM12" s="30">
        <f t="shared" si="3"/>
        <v>6</v>
      </c>
      <c r="AN12" s="30">
        <f t="shared" si="3"/>
        <v>9</v>
      </c>
      <c r="AO12" s="30">
        <f t="shared" si="3"/>
        <v>9</v>
      </c>
      <c r="AP12" s="30">
        <f t="shared" si="3"/>
        <v>6</v>
      </c>
      <c r="AQ12" s="30">
        <f t="shared" si="3"/>
        <v>9</v>
      </c>
      <c r="AR12" s="30">
        <f t="shared" si="3"/>
        <v>6</v>
      </c>
      <c r="AS12" s="30">
        <f t="shared" si="3"/>
        <v>6</v>
      </c>
      <c r="AT12" s="30">
        <f t="shared" si="4"/>
        <v>6</v>
      </c>
      <c r="AU12" s="30">
        <f t="shared" si="4"/>
        <v>6</v>
      </c>
      <c r="AV12" s="30">
        <f t="shared" si="4"/>
        <v>6</v>
      </c>
      <c r="AW12" s="30">
        <f t="shared" si="4"/>
        <v>6</v>
      </c>
      <c r="AX12" s="30">
        <f t="shared" si="4"/>
        <v>9</v>
      </c>
      <c r="AY12" s="30">
        <f t="shared" si="4"/>
        <v>6</v>
      </c>
      <c r="AZ12" s="30">
        <f t="shared" si="4"/>
        <v>6</v>
      </c>
      <c r="BA12" s="31">
        <f t="shared" si="4"/>
        <v>6</v>
      </c>
    </row>
    <row r="13" spans="1:53" ht="37.35" customHeight="1" x14ac:dyDescent="0.2">
      <c r="A13" s="28" t="s">
        <v>67</v>
      </c>
      <c r="B13" s="25"/>
      <c r="C13" s="25"/>
      <c r="D13" s="25"/>
      <c r="E13" s="27">
        <v>4</v>
      </c>
      <c r="F13" s="29">
        <f t="shared" si="0"/>
        <v>12</v>
      </c>
      <c r="G13" s="30">
        <f t="shared" si="0"/>
        <v>4</v>
      </c>
      <c r="H13" s="30">
        <f t="shared" si="0"/>
        <v>8</v>
      </c>
      <c r="I13" s="30">
        <f t="shared" si="0"/>
        <v>16</v>
      </c>
      <c r="J13" s="30">
        <f t="shared" si="0"/>
        <v>16</v>
      </c>
      <c r="K13" s="30">
        <f t="shared" si="0"/>
        <v>16</v>
      </c>
      <c r="L13" s="30">
        <f t="shared" si="0"/>
        <v>4</v>
      </c>
      <c r="M13" s="30">
        <f t="shared" si="0"/>
        <v>16</v>
      </c>
      <c r="N13" s="30">
        <f t="shared" si="0"/>
        <v>8</v>
      </c>
      <c r="O13" s="30">
        <f t="shared" si="0"/>
        <v>12</v>
      </c>
      <c r="P13" s="30">
        <f t="shared" si="1"/>
        <v>12</v>
      </c>
      <c r="Q13" s="30">
        <f t="shared" si="1"/>
        <v>8</v>
      </c>
      <c r="R13" s="31">
        <f t="shared" si="1"/>
        <v>12</v>
      </c>
      <c r="S13" s="29">
        <f t="shared" si="1"/>
        <v>8</v>
      </c>
      <c r="T13" s="30">
        <f t="shared" si="1"/>
        <v>8</v>
      </c>
      <c r="U13" s="30">
        <f t="shared" si="1"/>
        <v>12</v>
      </c>
      <c r="V13" s="30">
        <f t="shared" si="1"/>
        <v>4</v>
      </c>
      <c r="W13" s="30">
        <f t="shared" si="1"/>
        <v>4</v>
      </c>
      <c r="X13" s="30">
        <f t="shared" si="1"/>
        <v>8</v>
      </c>
      <c r="Y13" s="30">
        <f t="shared" si="1"/>
        <v>8</v>
      </c>
      <c r="Z13" s="30">
        <f t="shared" si="2"/>
        <v>8</v>
      </c>
      <c r="AA13" s="31">
        <f t="shared" si="2"/>
        <v>8</v>
      </c>
      <c r="AB13" s="29">
        <f t="shared" si="2"/>
        <v>8</v>
      </c>
      <c r="AC13" s="30">
        <f t="shared" si="2"/>
        <v>8</v>
      </c>
      <c r="AD13" s="30">
        <f t="shared" si="2"/>
        <v>8</v>
      </c>
      <c r="AE13" s="30">
        <f t="shared" si="2"/>
        <v>8</v>
      </c>
      <c r="AF13" s="30">
        <f t="shared" si="2"/>
        <v>8</v>
      </c>
      <c r="AG13" s="30">
        <f t="shared" si="2"/>
        <v>8</v>
      </c>
      <c r="AH13" s="30">
        <f t="shared" si="2"/>
        <v>12</v>
      </c>
      <c r="AI13" s="30">
        <f t="shared" si="2"/>
        <v>8</v>
      </c>
      <c r="AJ13" s="30">
        <f t="shared" si="3"/>
        <v>8</v>
      </c>
      <c r="AK13" s="30">
        <f t="shared" si="3"/>
        <v>8</v>
      </c>
      <c r="AL13" s="30">
        <f t="shared" si="3"/>
        <v>12</v>
      </c>
      <c r="AM13" s="30">
        <f t="shared" si="3"/>
        <v>8</v>
      </c>
      <c r="AN13" s="30">
        <f t="shared" si="3"/>
        <v>12</v>
      </c>
      <c r="AO13" s="30">
        <f t="shared" si="3"/>
        <v>12</v>
      </c>
      <c r="AP13" s="30">
        <f t="shared" si="3"/>
        <v>8</v>
      </c>
      <c r="AQ13" s="30">
        <f t="shared" si="3"/>
        <v>12</v>
      </c>
      <c r="AR13" s="30">
        <f t="shared" si="3"/>
        <v>8</v>
      </c>
      <c r="AS13" s="30">
        <f t="shared" si="3"/>
        <v>8</v>
      </c>
      <c r="AT13" s="30">
        <f t="shared" si="4"/>
        <v>8</v>
      </c>
      <c r="AU13" s="30">
        <f t="shared" si="4"/>
        <v>8</v>
      </c>
      <c r="AV13" s="30">
        <f t="shared" si="4"/>
        <v>8</v>
      </c>
      <c r="AW13" s="30">
        <f t="shared" si="4"/>
        <v>8</v>
      </c>
      <c r="AX13" s="30">
        <f t="shared" si="4"/>
        <v>12</v>
      </c>
      <c r="AY13" s="30">
        <f t="shared" si="4"/>
        <v>8</v>
      </c>
      <c r="AZ13" s="30">
        <f t="shared" si="4"/>
        <v>8</v>
      </c>
      <c r="BA13" s="31">
        <f t="shared" si="4"/>
        <v>8</v>
      </c>
    </row>
    <row r="14" spans="1:53" ht="37.35" customHeight="1" x14ac:dyDescent="0.2">
      <c r="A14" s="28" t="s">
        <v>68</v>
      </c>
      <c r="B14" s="25"/>
      <c r="C14" s="25"/>
      <c r="D14" s="25"/>
      <c r="E14" s="27">
        <v>1</v>
      </c>
      <c r="F14" s="29">
        <f t="shared" si="0"/>
        <v>3</v>
      </c>
      <c r="G14" s="30">
        <f t="shared" si="0"/>
        <v>1</v>
      </c>
      <c r="H14" s="30">
        <f t="shared" si="0"/>
        <v>2</v>
      </c>
      <c r="I14" s="30">
        <f t="shared" si="0"/>
        <v>4</v>
      </c>
      <c r="J14" s="30">
        <f t="shared" si="0"/>
        <v>4</v>
      </c>
      <c r="K14" s="30">
        <f t="shared" si="0"/>
        <v>4</v>
      </c>
      <c r="L14" s="30">
        <f t="shared" si="0"/>
        <v>1</v>
      </c>
      <c r="M14" s="30">
        <f t="shared" si="0"/>
        <v>4</v>
      </c>
      <c r="N14" s="30">
        <f t="shared" si="0"/>
        <v>2</v>
      </c>
      <c r="O14" s="30">
        <f t="shared" si="0"/>
        <v>3</v>
      </c>
      <c r="P14" s="30">
        <f t="shared" si="1"/>
        <v>3</v>
      </c>
      <c r="Q14" s="30">
        <f t="shared" si="1"/>
        <v>2</v>
      </c>
      <c r="R14" s="31">
        <f t="shared" si="1"/>
        <v>3</v>
      </c>
      <c r="S14" s="29">
        <f t="shared" si="1"/>
        <v>2</v>
      </c>
      <c r="T14" s="30">
        <f t="shared" si="1"/>
        <v>2</v>
      </c>
      <c r="U14" s="30">
        <f t="shared" si="1"/>
        <v>3</v>
      </c>
      <c r="V14" s="30">
        <f t="shared" si="1"/>
        <v>1</v>
      </c>
      <c r="W14" s="30">
        <f t="shared" si="1"/>
        <v>1</v>
      </c>
      <c r="X14" s="30">
        <f t="shared" si="1"/>
        <v>2</v>
      </c>
      <c r="Y14" s="30">
        <f t="shared" si="1"/>
        <v>2</v>
      </c>
      <c r="Z14" s="30">
        <f t="shared" si="2"/>
        <v>2</v>
      </c>
      <c r="AA14" s="31">
        <f t="shared" si="2"/>
        <v>2</v>
      </c>
      <c r="AB14" s="29">
        <f t="shared" si="2"/>
        <v>2</v>
      </c>
      <c r="AC14" s="30">
        <f t="shared" si="2"/>
        <v>2</v>
      </c>
      <c r="AD14" s="30">
        <f t="shared" si="2"/>
        <v>2</v>
      </c>
      <c r="AE14" s="30">
        <f t="shared" si="2"/>
        <v>2</v>
      </c>
      <c r="AF14" s="30">
        <f t="shared" si="2"/>
        <v>2</v>
      </c>
      <c r="AG14" s="30">
        <f t="shared" si="2"/>
        <v>2</v>
      </c>
      <c r="AH14" s="30">
        <f t="shared" si="2"/>
        <v>3</v>
      </c>
      <c r="AI14" s="30">
        <f t="shared" si="2"/>
        <v>2</v>
      </c>
      <c r="AJ14" s="30">
        <f t="shared" si="3"/>
        <v>2</v>
      </c>
      <c r="AK14" s="30">
        <f t="shared" si="3"/>
        <v>2</v>
      </c>
      <c r="AL14" s="30">
        <f t="shared" si="3"/>
        <v>3</v>
      </c>
      <c r="AM14" s="30">
        <f t="shared" si="3"/>
        <v>2</v>
      </c>
      <c r="AN14" s="30">
        <f t="shared" si="3"/>
        <v>3</v>
      </c>
      <c r="AO14" s="30">
        <f t="shared" si="3"/>
        <v>3</v>
      </c>
      <c r="AP14" s="30">
        <f t="shared" si="3"/>
        <v>2</v>
      </c>
      <c r="AQ14" s="30">
        <f t="shared" si="3"/>
        <v>3</v>
      </c>
      <c r="AR14" s="30">
        <f t="shared" si="3"/>
        <v>2</v>
      </c>
      <c r="AS14" s="30">
        <f t="shared" si="3"/>
        <v>2</v>
      </c>
      <c r="AT14" s="30">
        <f t="shared" si="4"/>
        <v>2</v>
      </c>
      <c r="AU14" s="30">
        <f t="shared" si="4"/>
        <v>2</v>
      </c>
      <c r="AV14" s="30">
        <f t="shared" si="4"/>
        <v>2</v>
      </c>
      <c r="AW14" s="30">
        <f t="shared" si="4"/>
        <v>2</v>
      </c>
      <c r="AX14" s="30">
        <f t="shared" si="4"/>
        <v>3</v>
      </c>
      <c r="AY14" s="30">
        <f t="shared" si="4"/>
        <v>2</v>
      </c>
      <c r="AZ14" s="30">
        <f t="shared" si="4"/>
        <v>2</v>
      </c>
      <c r="BA14" s="31">
        <f t="shared" si="4"/>
        <v>2</v>
      </c>
    </row>
    <row r="15" spans="1:53" ht="37.35" customHeight="1" x14ac:dyDescent="0.2">
      <c r="A15" s="28" t="s">
        <v>69</v>
      </c>
      <c r="B15" s="25"/>
      <c r="C15" s="25"/>
      <c r="D15" s="25"/>
      <c r="E15" s="27">
        <v>2</v>
      </c>
      <c r="F15" s="29">
        <f t="shared" ref="F15:O26" si="5">IF(OR($E15="",F$4=""),"",F$4*$E15)</f>
        <v>6</v>
      </c>
      <c r="G15" s="30">
        <f t="shared" si="5"/>
        <v>2</v>
      </c>
      <c r="H15" s="30">
        <f t="shared" si="5"/>
        <v>4</v>
      </c>
      <c r="I15" s="30">
        <f t="shared" si="5"/>
        <v>8</v>
      </c>
      <c r="J15" s="30">
        <f t="shared" si="5"/>
        <v>8</v>
      </c>
      <c r="K15" s="30">
        <f t="shared" si="5"/>
        <v>8</v>
      </c>
      <c r="L15" s="30">
        <f t="shared" si="5"/>
        <v>2</v>
      </c>
      <c r="M15" s="30">
        <f t="shared" si="5"/>
        <v>8</v>
      </c>
      <c r="N15" s="30">
        <f t="shared" si="5"/>
        <v>4</v>
      </c>
      <c r="O15" s="30">
        <f t="shared" si="5"/>
        <v>6</v>
      </c>
      <c r="P15" s="30">
        <f t="shared" ref="P15:Y26" si="6">IF(OR($E15="",P$4=""),"",P$4*$E15)</f>
        <v>6</v>
      </c>
      <c r="Q15" s="30">
        <f t="shared" si="6"/>
        <v>4</v>
      </c>
      <c r="R15" s="31">
        <f t="shared" si="6"/>
        <v>6</v>
      </c>
      <c r="S15" s="29">
        <f t="shared" si="6"/>
        <v>4</v>
      </c>
      <c r="T15" s="30">
        <f t="shared" si="6"/>
        <v>4</v>
      </c>
      <c r="U15" s="30">
        <f t="shared" si="6"/>
        <v>6</v>
      </c>
      <c r="V15" s="30">
        <f t="shared" si="6"/>
        <v>2</v>
      </c>
      <c r="W15" s="30">
        <f t="shared" si="6"/>
        <v>2</v>
      </c>
      <c r="X15" s="30">
        <f t="shared" si="6"/>
        <v>4</v>
      </c>
      <c r="Y15" s="30">
        <f t="shared" si="6"/>
        <v>4</v>
      </c>
      <c r="Z15" s="30">
        <f t="shared" ref="Z15:AI26" si="7">IF(OR($E15="",Z$4=""),"",Z$4*$E15)</f>
        <v>4</v>
      </c>
      <c r="AA15" s="31">
        <f t="shared" si="7"/>
        <v>4</v>
      </c>
      <c r="AB15" s="29">
        <f t="shared" si="7"/>
        <v>4</v>
      </c>
      <c r="AC15" s="30">
        <f t="shared" si="7"/>
        <v>4</v>
      </c>
      <c r="AD15" s="30">
        <f t="shared" si="7"/>
        <v>4</v>
      </c>
      <c r="AE15" s="30">
        <f t="shared" si="7"/>
        <v>4</v>
      </c>
      <c r="AF15" s="30">
        <f t="shared" si="7"/>
        <v>4</v>
      </c>
      <c r="AG15" s="30">
        <f t="shared" si="7"/>
        <v>4</v>
      </c>
      <c r="AH15" s="30">
        <f t="shared" si="7"/>
        <v>6</v>
      </c>
      <c r="AI15" s="30">
        <f t="shared" si="7"/>
        <v>4</v>
      </c>
      <c r="AJ15" s="30">
        <f t="shared" ref="AJ15:AS26" si="8">IF(OR($E15="",AJ$4=""),"",AJ$4*$E15)</f>
        <v>4</v>
      </c>
      <c r="AK15" s="30">
        <f t="shared" si="8"/>
        <v>4</v>
      </c>
      <c r="AL15" s="30">
        <f t="shared" si="8"/>
        <v>6</v>
      </c>
      <c r="AM15" s="30">
        <f t="shared" si="8"/>
        <v>4</v>
      </c>
      <c r="AN15" s="30">
        <f t="shared" si="8"/>
        <v>6</v>
      </c>
      <c r="AO15" s="30">
        <f t="shared" si="8"/>
        <v>6</v>
      </c>
      <c r="AP15" s="30">
        <f t="shared" si="8"/>
        <v>4</v>
      </c>
      <c r="AQ15" s="30">
        <f t="shared" si="8"/>
        <v>6</v>
      </c>
      <c r="AR15" s="30">
        <f t="shared" si="8"/>
        <v>4</v>
      </c>
      <c r="AS15" s="30">
        <f t="shared" si="8"/>
        <v>4</v>
      </c>
      <c r="AT15" s="30">
        <f t="shared" ref="AT15:BA26" si="9">IF(OR($E15="",AT$4=""),"",AT$4*$E15)</f>
        <v>4</v>
      </c>
      <c r="AU15" s="30">
        <f t="shared" si="9"/>
        <v>4</v>
      </c>
      <c r="AV15" s="30">
        <f t="shared" si="9"/>
        <v>4</v>
      </c>
      <c r="AW15" s="30">
        <f t="shared" si="9"/>
        <v>4</v>
      </c>
      <c r="AX15" s="30">
        <f t="shared" si="9"/>
        <v>6</v>
      </c>
      <c r="AY15" s="30">
        <f t="shared" si="9"/>
        <v>4</v>
      </c>
      <c r="AZ15" s="30">
        <f t="shared" si="9"/>
        <v>4</v>
      </c>
      <c r="BA15" s="31">
        <f t="shared" si="9"/>
        <v>4</v>
      </c>
    </row>
    <row r="16" spans="1:53" ht="37.35" customHeight="1" x14ac:dyDescent="0.2">
      <c r="A16" s="28" t="s">
        <v>70</v>
      </c>
      <c r="B16" s="25"/>
      <c r="C16" s="25"/>
      <c r="D16" s="25"/>
      <c r="E16" s="27">
        <v>2</v>
      </c>
      <c r="F16" s="29">
        <f t="shared" si="5"/>
        <v>6</v>
      </c>
      <c r="G16" s="30">
        <f t="shared" si="5"/>
        <v>2</v>
      </c>
      <c r="H16" s="30">
        <f t="shared" si="5"/>
        <v>4</v>
      </c>
      <c r="I16" s="30">
        <f t="shared" si="5"/>
        <v>8</v>
      </c>
      <c r="J16" s="30">
        <f t="shared" si="5"/>
        <v>8</v>
      </c>
      <c r="K16" s="30">
        <f t="shared" si="5"/>
        <v>8</v>
      </c>
      <c r="L16" s="30">
        <f t="shared" si="5"/>
        <v>2</v>
      </c>
      <c r="M16" s="30">
        <f t="shared" si="5"/>
        <v>8</v>
      </c>
      <c r="N16" s="30">
        <f t="shared" si="5"/>
        <v>4</v>
      </c>
      <c r="O16" s="30">
        <f t="shared" si="5"/>
        <v>6</v>
      </c>
      <c r="P16" s="30">
        <f t="shared" si="6"/>
        <v>6</v>
      </c>
      <c r="Q16" s="30">
        <f t="shared" si="6"/>
        <v>4</v>
      </c>
      <c r="R16" s="31">
        <f t="shared" si="6"/>
        <v>6</v>
      </c>
      <c r="S16" s="29">
        <f t="shared" si="6"/>
        <v>4</v>
      </c>
      <c r="T16" s="30">
        <f t="shared" si="6"/>
        <v>4</v>
      </c>
      <c r="U16" s="30">
        <f t="shared" si="6"/>
        <v>6</v>
      </c>
      <c r="V16" s="30">
        <f t="shared" si="6"/>
        <v>2</v>
      </c>
      <c r="W16" s="30">
        <f t="shared" si="6"/>
        <v>2</v>
      </c>
      <c r="X16" s="30">
        <f t="shared" si="6"/>
        <v>4</v>
      </c>
      <c r="Y16" s="30">
        <f t="shared" si="6"/>
        <v>4</v>
      </c>
      <c r="Z16" s="30">
        <f t="shared" si="7"/>
        <v>4</v>
      </c>
      <c r="AA16" s="31">
        <f t="shared" si="7"/>
        <v>4</v>
      </c>
      <c r="AB16" s="29">
        <f t="shared" si="7"/>
        <v>4</v>
      </c>
      <c r="AC16" s="30">
        <f t="shared" si="7"/>
        <v>4</v>
      </c>
      <c r="AD16" s="30">
        <f t="shared" si="7"/>
        <v>4</v>
      </c>
      <c r="AE16" s="30">
        <f t="shared" si="7"/>
        <v>4</v>
      </c>
      <c r="AF16" s="30">
        <f t="shared" si="7"/>
        <v>4</v>
      </c>
      <c r="AG16" s="30">
        <f t="shared" si="7"/>
        <v>4</v>
      </c>
      <c r="AH16" s="30">
        <f t="shared" si="7"/>
        <v>6</v>
      </c>
      <c r="AI16" s="30">
        <f t="shared" si="7"/>
        <v>4</v>
      </c>
      <c r="AJ16" s="30">
        <f t="shared" si="8"/>
        <v>4</v>
      </c>
      <c r="AK16" s="30">
        <f t="shared" si="8"/>
        <v>4</v>
      </c>
      <c r="AL16" s="30">
        <f t="shared" si="8"/>
        <v>6</v>
      </c>
      <c r="AM16" s="30">
        <f t="shared" si="8"/>
        <v>4</v>
      </c>
      <c r="AN16" s="30">
        <f t="shared" si="8"/>
        <v>6</v>
      </c>
      <c r="AO16" s="30">
        <f t="shared" si="8"/>
        <v>6</v>
      </c>
      <c r="AP16" s="30">
        <f t="shared" si="8"/>
        <v>4</v>
      </c>
      <c r="AQ16" s="30">
        <f t="shared" si="8"/>
        <v>6</v>
      </c>
      <c r="AR16" s="30">
        <f t="shared" si="8"/>
        <v>4</v>
      </c>
      <c r="AS16" s="30">
        <f t="shared" si="8"/>
        <v>4</v>
      </c>
      <c r="AT16" s="30">
        <f t="shared" si="9"/>
        <v>4</v>
      </c>
      <c r="AU16" s="30">
        <f t="shared" si="9"/>
        <v>4</v>
      </c>
      <c r="AV16" s="30">
        <f t="shared" si="9"/>
        <v>4</v>
      </c>
      <c r="AW16" s="30">
        <f t="shared" si="9"/>
        <v>4</v>
      </c>
      <c r="AX16" s="30">
        <f t="shared" si="9"/>
        <v>6</v>
      </c>
      <c r="AY16" s="30">
        <f t="shared" si="9"/>
        <v>4</v>
      </c>
      <c r="AZ16" s="30">
        <f t="shared" si="9"/>
        <v>4</v>
      </c>
      <c r="BA16" s="31">
        <f t="shared" si="9"/>
        <v>4</v>
      </c>
    </row>
    <row r="17" spans="1:53" ht="37.35" customHeight="1" x14ac:dyDescent="0.2">
      <c r="A17" s="28" t="s">
        <v>71</v>
      </c>
      <c r="B17" s="25"/>
      <c r="C17" s="25"/>
      <c r="D17" s="25"/>
      <c r="E17" s="27">
        <v>2</v>
      </c>
      <c r="F17" s="29">
        <f t="shared" si="5"/>
        <v>6</v>
      </c>
      <c r="G17" s="30">
        <f t="shared" si="5"/>
        <v>2</v>
      </c>
      <c r="H17" s="30">
        <f t="shared" si="5"/>
        <v>4</v>
      </c>
      <c r="I17" s="30">
        <f t="shared" si="5"/>
        <v>8</v>
      </c>
      <c r="J17" s="30">
        <f t="shared" si="5"/>
        <v>8</v>
      </c>
      <c r="K17" s="30">
        <f t="shared" si="5"/>
        <v>8</v>
      </c>
      <c r="L17" s="30">
        <f t="shared" si="5"/>
        <v>2</v>
      </c>
      <c r="M17" s="30">
        <f t="shared" si="5"/>
        <v>8</v>
      </c>
      <c r="N17" s="30">
        <f t="shared" si="5"/>
        <v>4</v>
      </c>
      <c r="O17" s="30">
        <f t="shared" si="5"/>
        <v>6</v>
      </c>
      <c r="P17" s="30">
        <f t="shared" si="6"/>
        <v>6</v>
      </c>
      <c r="Q17" s="30">
        <f t="shared" si="6"/>
        <v>4</v>
      </c>
      <c r="R17" s="31">
        <f t="shared" si="6"/>
        <v>6</v>
      </c>
      <c r="S17" s="29">
        <f t="shared" si="6"/>
        <v>4</v>
      </c>
      <c r="T17" s="30">
        <f t="shared" si="6"/>
        <v>4</v>
      </c>
      <c r="U17" s="30">
        <f t="shared" si="6"/>
        <v>6</v>
      </c>
      <c r="V17" s="30">
        <f t="shared" si="6"/>
        <v>2</v>
      </c>
      <c r="W17" s="30">
        <f t="shared" si="6"/>
        <v>2</v>
      </c>
      <c r="X17" s="30">
        <f t="shared" si="6"/>
        <v>4</v>
      </c>
      <c r="Y17" s="30">
        <f t="shared" si="6"/>
        <v>4</v>
      </c>
      <c r="Z17" s="30">
        <f t="shared" si="7"/>
        <v>4</v>
      </c>
      <c r="AA17" s="31">
        <f t="shared" si="7"/>
        <v>4</v>
      </c>
      <c r="AB17" s="29">
        <f t="shared" si="7"/>
        <v>4</v>
      </c>
      <c r="AC17" s="30">
        <f t="shared" si="7"/>
        <v>4</v>
      </c>
      <c r="AD17" s="30">
        <f t="shared" si="7"/>
        <v>4</v>
      </c>
      <c r="AE17" s="30">
        <f t="shared" si="7"/>
        <v>4</v>
      </c>
      <c r="AF17" s="30">
        <f t="shared" si="7"/>
        <v>4</v>
      </c>
      <c r="AG17" s="30">
        <f t="shared" si="7"/>
        <v>4</v>
      </c>
      <c r="AH17" s="30">
        <f t="shared" si="7"/>
        <v>6</v>
      </c>
      <c r="AI17" s="30">
        <f t="shared" si="7"/>
        <v>4</v>
      </c>
      <c r="AJ17" s="30">
        <f t="shared" si="8"/>
        <v>4</v>
      </c>
      <c r="AK17" s="30">
        <f t="shared" si="8"/>
        <v>4</v>
      </c>
      <c r="AL17" s="30">
        <f t="shared" si="8"/>
        <v>6</v>
      </c>
      <c r="AM17" s="30">
        <f t="shared" si="8"/>
        <v>4</v>
      </c>
      <c r="AN17" s="30">
        <f t="shared" si="8"/>
        <v>6</v>
      </c>
      <c r="AO17" s="30">
        <f t="shared" si="8"/>
        <v>6</v>
      </c>
      <c r="AP17" s="30">
        <f t="shared" si="8"/>
        <v>4</v>
      </c>
      <c r="AQ17" s="30">
        <f t="shared" si="8"/>
        <v>6</v>
      </c>
      <c r="AR17" s="30">
        <f t="shared" si="8"/>
        <v>4</v>
      </c>
      <c r="AS17" s="30">
        <f t="shared" si="8"/>
        <v>4</v>
      </c>
      <c r="AT17" s="30">
        <f t="shared" si="9"/>
        <v>4</v>
      </c>
      <c r="AU17" s="30">
        <f t="shared" si="9"/>
        <v>4</v>
      </c>
      <c r="AV17" s="30">
        <f t="shared" si="9"/>
        <v>4</v>
      </c>
      <c r="AW17" s="30">
        <f t="shared" si="9"/>
        <v>4</v>
      </c>
      <c r="AX17" s="30">
        <f t="shared" si="9"/>
        <v>6</v>
      </c>
      <c r="AY17" s="30">
        <f t="shared" si="9"/>
        <v>4</v>
      </c>
      <c r="AZ17" s="30">
        <f t="shared" si="9"/>
        <v>4</v>
      </c>
      <c r="BA17" s="31">
        <f t="shared" si="9"/>
        <v>4</v>
      </c>
    </row>
    <row r="18" spans="1:53" ht="37.35" customHeight="1" x14ac:dyDescent="0.2">
      <c r="A18" s="28" t="s">
        <v>72</v>
      </c>
      <c r="B18" s="25"/>
      <c r="C18" s="25"/>
      <c r="D18" s="25"/>
      <c r="E18" s="27">
        <v>4</v>
      </c>
      <c r="F18" s="29">
        <f t="shared" si="5"/>
        <v>12</v>
      </c>
      <c r="G18" s="30">
        <f t="shared" si="5"/>
        <v>4</v>
      </c>
      <c r="H18" s="30">
        <f t="shared" si="5"/>
        <v>8</v>
      </c>
      <c r="I18" s="30">
        <f t="shared" si="5"/>
        <v>16</v>
      </c>
      <c r="J18" s="30">
        <f t="shared" si="5"/>
        <v>16</v>
      </c>
      <c r="K18" s="30">
        <f t="shared" si="5"/>
        <v>16</v>
      </c>
      <c r="L18" s="30">
        <f t="shared" si="5"/>
        <v>4</v>
      </c>
      <c r="M18" s="30">
        <f t="shared" si="5"/>
        <v>16</v>
      </c>
      <c r="N18" s="30">
        <f t="shared" si="5"/>
        <v>8</v>
      </c>
      <c r="O18" s="30">
        <f t="shared" si="5"/>
        <v>12</v>
      </c>
      <c r="P18" s="30">
        <f t="shared" si="6"/>
        <v>12</v>
      </c>
      <c r="Q18" s="30">
        <f t="shared" si="6"/>
        <v>8</v>
      </c>
      <c r="R18" s="31">
        <f t="shared" si="6"/>
        <v>12</v>
      </c>
      <c r="S18" s="29">
        <f t="shared" si="6"/>
        <v>8</v>
      </c>
      <c r="T18" s="30">
        <f t="shared" si="6"/>
        <v>8</v>
      </c>
      <c r="U18" s="30">
        <f t="shared" si="6"/>
        <v>12</v>
      </c>
      <c r="V18" s="30">
        <f t="shared" si="6"/>
        <v>4</v>
      </c>
      <c r="W18" s="30">
        <f t="shared" si="6"/>
        <v>4</v>
      </c>
      <c r="X18" s="30">
        <f t="shared" si="6"/>
        <v>8</v>
      </c>
      <c r="Y18" s="30">
        <f t="shared" si="6"/>
        <v>8</v>
      </c>
      <c r="Z18" s="30">
        <f t="shared" si="7"/>
        <v>8</v>
      </c>
      <c r="AA18" s="31">
        <f t="shared" si="7"/>
        <v>8</v>
      </c>
      <c r="AB18" s="29">
        <f t="shared" si="7"/>
        <v>8</v>
      </c>
      <c r="AC18" s="30">
        <f t="shared" si="7"/>
        <v>8</v>
      </c>
      <c r="AD18" s="30">
        <f t="shared" si="7"/>
        <v>8</v>
      </c>
      <c r="AE18" s="30">
        <f t="shared" si="7"/>
        <v>8</v>
      </c>
      <c r="AF18" s="30">
        <f t="shared" si="7"/>
        <v>8</v>
      </c>
      <c r="AG18" s="30">
        <f t="shared" si="7"/>
        <v>8</v>
      </c>
      <c r="AH18" s="30">
        <f t="shared" si="7"/>
        <v>12</v>
      </c>
      <c r="AI18" s="30">
        <f t="shared" si="7"/>
        <v>8</v>
      </c>
      <c r="AJ18" s="30">
        <f t="shared" si="8"/>
        <v>8</v>
      </c>
      <c r="AK18" s="30">
        <f t="shared" si="8"/>
        <v>8</v>
      </c>
      <c r="AL18" s="30">
        <f t="shared" si="8"/>
        <v>12</v>
      </c>
      <c r="AM18" s="30">
        <f t="shared" si="8"/>
        <v>8</v>
      </c>
      <c r="AN18" s="30">
        <f t="shared" si="8"/>
        <v>12</v>
      </c>
      <c r="AO18" s="30">
        <f t="shared" si="8"/>
        <v>12</v>
      </c>
      <c r="AP18" s="30">
        <f t="shared" si="8"/>
        <v>8</v>
      </c>
      <c r="AQ18" s="30">
        <f t="shared" si="8"/>
        <v>12</v>
      </c>
      <c r="AR18" s="30">
        <f t="shared" si="8"/>
        <v>8</v>
      </c>
      <c r="AS18" s="30">
        <f t="shared" si="8"/>
        <v>8</v>
      </c>
      <c r="AT18" s="30">
        <f t="shared" si="9"/>
        <v>8</v>
      </c>
      <c r="AU18" s="30">
        <f t="shared" si="9"/>
        <v>8</v>
      </c>
      <c r="AV18" s="30">
        <f t="shared" si="9"/>
        <v>8</v>
      </c>
      <c r="AW18" s="30">
        <f t="shared" si="9"/>
        <v>8</v>
      </c>
      <c r="AX18" s="30">
        <f t="shared" si="9"/>
        <v>12</v>
      </c>
      <c r="AY18" s="30">
        <f t="shared" si="9"/>
        <v>8</v>
      </c>
      <c r="AZ18" s="30">
        <f t="shared" si="9"/>
        <v>8</v>
      </c>
      <c r="BA18" s="31">
        <f t="shared" si="9"/>
        <v>8</v>
      </c>
    </row>
    <row r="19" spans="1:53" ht="37.35" customHeight="1" x14ac:dyDescent="0.2">
      <c r="A19" s="28" t="s">
        <v>73</v>
      </c>
      <c r="B19" s="25"/>
      <c r="C19" s="25"/>
      <c r="D19" s="25"/>
      <c r="E19" s="27">
        <v>1</v>
      </c>
      <c r="F19" s="29">
        <f t="shared" si="5"/>
        <v>3</v>
      </c>
      <c r="G19" s="30">
        <f t="shared" si="5"/>
        <v>1</v>
      </c>
      <c r="H19" s="30">
        <f t="shared" si="5"/>
        <v>2</v>
      </c>
      <c r="I19" s="30">
        <f t="shared" si="5"/>
        <v>4</v>
      </c>
      <c r="J19" s="30">
        <f t="shared" si="5"/>
        <v>4</v>
      </c>
      <c r="K19" s="30">
        <f t="shared" si="5"/>
        <v>4</v>
      </c>
      <c r="L19" s="30">
        <f t="shared" si="5"/>
        <v>1</v>
      </c>
      <c r="M19" s="30">
        <f t="shared" si="5"/>
        <v>4</v>
      </c>
      <c r="N19" s="30">
        <f t="shared" si="5"/>
        <v>2</v>
      </c>
      <c r="O19" s="30">
        <f t="shared" si="5"/>
        <v>3</v>
      </c>
      <c r="P19" s="30">
        <f t="shared" si="6"/>
        <v>3</v>
      </c>
      <c r="Q19" s="30">
        <f t="shared" si="6"/>
        <v>2</v>
      </c>
      <c r="R19" s="31">
        <f t="shared" si="6"/>
        <v>3</v>
      </c>
      <c r="S19" s="29">
        <f t="shared" si="6"/>
        <v>2</v>
      </c>
      <c r="T19" s="30">
        <f t="shared" si="6"/>
        <v>2</v>
      </c>
      <c r="U19" s="30">
        <f t="shared" si="6"/>
        <v>3</v>
      </c>
      <c r="V19" s="30">
        <f t="shared" si="6"/>
        <v>1</v>
      </c>
      <c r="W19" s="30">
        <f t="shared" si="6"/>
        <v>1</v>
      </c>
      <c r="X19" s="30">
        <f t="shared" si="6"/>
        <v>2</v>
      </c>
      <c r="Y19" s="30">
        <f t="shared" si="6"/>
        <v>2</v>
      </c>
      <c r="Z19" s="30">
        <f t="shared" si="7"/>
        <v>2</v>
      </c>
      <c r="AA19" s="31">
        <f t="shared" si="7"/>
        <v>2</v>
      </c>
      <c r="AB19" s="29">
        <f t="shared" si="7"/>
        <v>2</v>
      </c>
      <c r="AC19" s="30">
        <f t="shared" si="7"/>
        <v>2</v>
      </c>
      <c r="AD19" s="30">
        <f t="shared" si="7"/>
        <v>2</v>
      </c>
      <c r="AE19" s="30">
        <f t="shared" si="7"/>
        <v>2</v>
      </c>
      <c r="AF19" s="30">
        <f t="shared" si="7"/>
        <v>2</v>
      </c>
      <c r="AG19" s="30">
        <f t="shared" si="7"/>
        <v>2</v>
      </c>
      <c r="AH19" s="30">
        <f t="shared" si="7"/>
        <v>3</v>
      </c>
      <c r="AI19" s="30">
        <f t="shared" si="7"/>
        <v>2</v>
      </c>
      <c r="AJ19" s="30">
        <f t="shared" si="8"/>
        <v>2</v>
      </c>
      <c r="AK19" s="30">
        <f t="shared" si="8"/>
        <v>2</v>
      </c>
      <c r="AL19" s="30">
        <f t="shared" si="8"/>
        <v>3</v>
      </c>
      <c r="AM19" s="30">
        <f t="shared" si="8"/>
        <v>2</v>
      </c>
      <c r="AN19" s="30">
        <f t="shared" si="8"/>
        <v>3</v>
      </c>
      <c r="AO19" s="30">
        <f t="shared" si="8"/>
        <v>3</v>
      </c>
      <c r="AP19" s="30">
        <f t="shared" si="8"/>
        <v>2</v>
      </c>
      <c r="AQ19" s="30">
        <f t="shared" si="8"/>
        <v>3</v>
      </c>
      <c r="AR19" s="30">
        <f t="shared" si="8"/>
        <v>2</v>
      </c>
      <c r="AS19" s="30">
        <f t="shared" si="8"/>
        <v>2</v>
      </c>
      <c r="AT19" s="30">
        <f t="shared" si="9"/>
        <v>2</v>
      </c>
      <c r="AU19" s="30">
        <f t="shared" si="9"/>
        <v>2</v>
      </c>
      <c r="AV19" s="30">
        <f t="shared" si="9"/>
        <v>2</v>
      </c>
      <c r="AW19" s="30">
        <f t="shared" si="9"/>
        <v>2</v>
      </c>
      <c r="AX19" s="30">
        <f t="shared" si="9"/>
        <v>3</v>
      </c>
      <c r="AY19" s="30">
        <f t="shared" si="9"/>
        <v>2</v>
      </c>
      <c r="AZ19" s="30">
        <f t="shared" si="9"/>
        <v>2</v>
      </c>
      <c r="BA19" s="31">
        <f t="shared" si="9"/>
        <v>2</v>
      </c>
    </row>
    <row r="20" spans="1:53" ht="37.35" customHeight="1" x14ac:dyDescent="0.2">
      <c r="A20" s="28" t="s">
        <v>74</v>
      </c>
      <c r="B20" s="25"/>
      <c r="C20" s="25"/>
      <c r="D20" s="25"/>
      <c r="E20" s="27">
        <v>3</v>
      </c>
      <c r="F20" s="29">
        <f t="shared" si="5"/>
        <v>9</v>
      </c>
      <c r="G20" s="30">
        <f t="shared" si="5"/>
        <v>3</v>
      </c>
      <c r="H20" s="30">
        <f t="shared" si="5"/>
        <v>6</v>
      </c>
      <c r="I20" s="30">
        <f t="shared" si="5"/>
        <v>12</v>
      </c>
      <c r="J20" s="30">
        <f t="shared" si="5"/>
        <v>12</v>
      </c>
      <c r="K20" s="30">
        <f t="shared" si="5"/>
        <v>12</v>
      </c>
      <c r="L20" s="30">
        <f t="shared" si="5"/>
        <v>3</v>
      </c>
      <c r="M20" s="30">
        <f t="shared" si="5"/>
        <v>12</v>
      </c>
      <c r="N20" s="30">
        <f t="shared" si="5"/>
        <v>6</v>
      </c>
      <c r="O20" s="30">
        <f t="shared" si="5"/>
        <v>9</v>
      </c>
      <c r="P20" s="30">
        <f t="shared" si="6"/>
        <v>9</v>
      </c>
      <c r="Q20" s="30">
        <f t="shared" si="6"/>
        <v>6</v>
      </c>
      <c r="R20" s="31">
        <f t="shared" si="6"/>
        <v>9</v>
      </c>
      <c r="S20" s="29">
        <f t="shared" si="6"/>
        <v>6</v>
      </c>
      <c r="T20" s="30">
        <f t="shared" si="6"/>
        <v>6</v>
      </c>
      <c r="U20" s="30">
        <f t="shared" si="6"/>
        <v>9</v>
      </c>
      <c r="V20" s="30">
        <f t="shared" si="6"/>
        <v>3</v>
      </c>
      <c r="W20" s="30">
        <f t="shared" si="6"/>
        <v>3</v>
      </c>
      <c r="X20" s="30">
        <f t="shared" si="6"/>
        <v>6</v>
      </c>
      <c r="Y20" s="30">
        <f t="shared" si="6"/>
        <v>6</v>
      </c>
      <c r="Z20" s="30">
        <f t="shared" si="7"/>
        <v>6</v>
      </c>
      <c r="AA20" s="31">
        <f t="shared" si="7"/>
        <v>6</v>
      </c>
      <c r="AB20" s="29">
        <f t="shared" si="7"/>
        <v>6</v>
      </c>
      <c r="AC20" s="30">
        <f t="shared" si="7"/>
        <v>6</v>
      </c>
      <c r="AD20" s="30">
        <f t="shared" si="7"/>
        <v>6</v>
      </c>
      <c r="AE20" s="30">
        <f t="shared" si="7"/>
        <v>6</v>
      </c>
      <c r="AF20" s="30">
        <f t="shared" si="7"/>
        <v>6</v>
      </c>
      <c r="AG20" s="30">
        <f t="shared" si="7"/>
        <v>6</v>
      </c>
      <c r="AH20" s="30">
        <f t="shared" si="7"/>
        <v>9</v>
      </c>
      <c r="AI20" s="30">
        <f t="shared" si="7"/>
        <v>6</v>
      </c>
      <c r="AJ20" s="30">
        <f t="shared" si="8"/>
        <v>6</v>
      </c>
      <c r="AK20" s="30">
        <f t="shared" si="8"/>
        <v>6</v>
      </c>
      <c r="AL20" s="30">
        <f t="shared" si="8"/>
        <v>9</v>
      </c>
      <c r="AM20" s="30">
        <f t="shared" si="8"/>
        <v>6</v>
      </c>
      <c r="AN20" s="30">
        <f t="shared" si="8"/>
        <v>9</v>
      </c>
      <c r="AO20" s="30">
        <f t="shared" si="8"/>
        <v>9</v>
      </c>
      <c r="AP20" s="30">
        <f t="shared" si="8"/>
        <v>6</v>
      </c>
      <c r="AQ20" s="30">
        <f t="shared" si="8"/>
        <v>9</v>
      </c>
      <c r="AR20" s="30">
        <f t="shared" si="8"/>
        <v>6</v>
      </c>
      <c r="AS20" s="30">
        <f t="shared" si="8"/>
        <v>6</v>
      </c>
      <c r="AT20" s="30">
        <f t="shared" si="9"/>
        <v>6</v>
      </c>
      <c r="AU20" s="30">
        <f t="shared" si="9"/>
        <v>6</v>
      </c>
      <c r="AV20" s="30">
        <f t="shared" si="9"/>
        <v>6</v>
      </c>
      <c r="AW20" s="30">
        <f t="shared" si="9"/>
        <v>6</v>
      </c>
      <c r="AX20" s="30">
        <f t="shared" si="9"/>
        <v>9</v>
      </c>
      <c r="AY20" s="30">
        <f t="shared" si="9"/>
        <v>6</v>
      </c>
      <c r="AZ20" s="30">
        <f t="shared" si="9"/>
        <v>6</v>
      </c>
      <c r="BA20" s="31">
        <f t="shared" si="9"/>
        <v>6</v>
      </c>
    </row>
    <row r="21" spans="1:53" ht="37.35" customHeight="1" x14ac:dyDescent="0.2">
      <c r="A21" s="28" t="s">
        <v>75</v>
      </c>
      <c r="B21" s="25"/>
      <c r="C21" s="25"/>
      <c r="D21" s="25"/>
      <c r="E21" s="27">
        <v>3</v>
      </c>
      <c r="F21" s="29">
        <f t="shared" si="5"/>
        <v>9</v>
      </c>
      <c r="G21" s="30">
        <f t="shared" si="5"/>
        <v>3</v>
      </c>
      <c r="H21" s="30">
        <f t="shared" si="5"/>
        <v>6</v>
      </c>
      <c r="I21" s="30">
        <f t="shared" si="5"/>
        <v>12</v>
      </c>
      <c r="J21" s="30">
        <f t="shared" si="5"/>
        <v>12</v>
      </c>
      <c r="K21" s="30">
        <f t="shared" si="5"/>
        <v>12</v>
      </c>
      <c r="L21" s="30">
        <f t="shared" si="5"/>
        <v>3</v>
      </c>
      <c r="M21" s="30">
        <f t="shared" si="5"/>
        <v>12</v>
      </c>
      <c r="N21" s="30">
        <f t="shared" si="5"/>
        <v>6</v>
      </c>
      <c r="O21" s="30">
        <f t="shared" si="5"/>
        <v>9</v>
      </c>
      <c r="P21" s="30">
        <f t="shared" si="6"/>
        <v>9</v>
      </c>
      <c r="Q21" s="30">
        <f t="shared" si="6"/>
        <v>6</v>
      </c>
      <c r="R21" s="31">
        <f t="shared" si="6"/>
        <v>9</v>
      </c>
      <c r="S21" s="29">
        <f t="shared" si="6"/>
        <v>6</v>
      </c>
      <c r="T21" s="30">
        <f t="shared" si="6"/>
        <v>6</v>
      </c>
      <c r="U21" s="30">
        <f t="shared" si="6"/>
        <v>9</v>
      </c>
      <c r="V21" s="30">
        <f t="shared" si="6"/>
        <v>3</v>
      </c>
      <c r="W21" s="30">
        <f t="shared" si="6"/>
        <v>3</v>
      </c>
      <c r="X21" s="30">
        <f t="shared" si="6"/>
        <v>6</v>
      </c>
      <c r="Y21" s="30">
        <f t="shared" si="6"/>
        <v>6</v>
      </c>
      <c r="Z21" s="30">
        <f t="shared" si="7"/>
        <v>6</v>
      </c>
      <c r="AA21" s="31">
        <f t="shared" si="7"/>
        <v>6</v>
      </c>
      <c r="AB21" s="29">
        <f t="shared" si="7"/>
        <v>6</v>
      </c>
      <c r="AC21" s="30">
        <f t="shared" si="7"/>
        <v>6</v>
      </c>
      <c r="AD21" s="30">
        <f t="shared" si="7"/>
        <v>6</v>
      </c>
      <c r="AE21" s="30">
        <f t="shared" si="7"/>
        <v>6</v>
      </c>
      <c r="AF21" s="30">
        <f t="shared" si="7"/>
        <v>6</v>
      </c>
      <c r="AG21" s="30">
        <f t="shared" si="7"/>
        <v>6</v>
      </c>
      <c r="AH21" s="30">
        <f t="shared" si="7"/>
        <v>9</v>
      </c>
      <c r="AI21" s="30">
        <f t="shared" si="7"/>
        <v>6</v>
      </c>
      <c r="AJ21" s="30">
        <f t="shared" si="8"/>
        <v>6</v>
      </c>
      <c r="AK21" s="30">
        <f t="shared" si="8"/>
        <v>6</v>
      </c>
      <c r="AL21" s="30">
        <f t="shared" si="8"/>
        <v>9</v>
      </c>
      <c r="AM21" s="30">
        <f t="shared" si="8"/>
        <v>6</v>
      </c>
      <c r="AN21" s="30">
        <f t="shared" si="8"/>
        <v>9</v>
      </c>
      <c r="AO21" s="30">
        <f t="shared" si="8"/>
        <v>9</v>
      </c>
      <c r="AP21" s="30">
        <f t="shared" si="8"/>
        <v>6</v>
      </c>
      <c r="AQ21" s="30">
        <f t="shared" si="8"/>
        <v>9</v>
      </c>
      <c r="AR21" s="30">
        <f t="shared" si="8"/>
        <v>6</v>
      </c>
      <c r="AS21" s="30">
        <f t="shared" si="8"/>
        <v>6</v>
      </c>
      <c r="AT21" s="30">
        <f t="shared" si="9"/>
        <v>6</v>
      </c>
      <c r="AU21" s="30">
        <f t="shared" si="9"/>
        <v>6</v>
      </c>
      <c r="AV21" s="30">
        <f t="shared" si="9"/>
        <v>6</v>
      </c>
      <c r="AW21" s="30">
        <f t="shared" si="9"/>
        <v>6</v>
      </c>
      <c r="AX21" s="30">
        <f t="shared" si="9"/>
        <v>9</v>
      </c>
      <c r="AY21" s="30">
        <f t="shared" si="9"/>
        <v>6</v>
      </c>
      <c r="AZ21" s="30">
        <f t="shared" si="9"/>
        <v>6</v>
      </c>
      <c r="BA21" s="31">
        <f t="shared" si="9"/>
        <v>6</v>
      </c>
    </row>
    <row r="22" spans="1:53" ht="37.35" customHeight="1" x14ac:dyDescent="0.2">
      <c r="A22" s="28" t="s">
        <v>76</v>
      </c>
      <c r="B22" s="25"/>
      <c r="C22" s="25"/>
      <c r="D22" s="25"/>
      <c r="E22" s="27">
        <v>2</v>
      </c>
      <c r="F22" s="29">
        <f t="shared" si="5"/>
        <v>6</v>
      </c>
      <c r="G22" s="30">
        <f t="shared" si="5"/>
        <v>2</v>
      </c>
      <c r="H22" s="30">
        <f t="shared" si="5"/>
        <v>4</v>
      </c>
      <c r="I22" s="30">
        <f t="shared" si="5"/>
        <v>8</v>
      </c>
      <c r="J22" s="30">
        <f t="shared" si="5"/>
        <v>8</v>
      </c>
      <c r="K22" s="30">
        <f t="shared" si="5"/>
        <v>8</v>
      </c>
      <c r="L22" s="30">
        <f t="shared" si="5"/>
        <v>2</v>
      </c>
      <c r="M22" s="30">
        <f t="shared" si="5"/>
        <v>8</v>
      </c>
      <c r="N22" s="30">
        <f t="shared" si="5"/>
        <v>4</v>
      </c>
      <c r="O22" s="30">
        <f t="shared" si="5"/>
        <v>6</v>
      </c>
      <c r="P22" s="30">
        <f t="shared" si="6"/>
        <v>6</v>
      </c>
      <c r="Q22" s="30">
        <f t="shared" si="6"/>
        <v>4</v>
      </c>
      <c r="R22" s="31">
        <f t="shared" si="6"/>
        <v>6</v>
      </c>
      <c r="S22" s="29">
        <f t="shared" si="6"/>
        <v>4</v>
      </c>
      <c r="T22" s="30">
        <f t="shared" si="6"/>
        <v>4</v>
      </c>
      <c r="U22" s="30">
        <f t="shared" si="6"/>
        <v>6</v>
      </c>
      <c r="V22" s="30">
        <f t="shared" si="6"/>
        <v>2</v>
      </c>
      <c r="W22" s="30">
        <f t="shared" si="6"/>
        <v>2</v>
      </c>
      <c r="X22" s="30">
        <f t="shared" si="6"/>
        <v>4</v>
      </c>
      <c r="Y22" s="30">
        <f t="shared" si="6"/>
        <v>4</v>
      </c>
      <c r="Z22" s="30">
        <f t="shared" si="7"/>
        <v>4</v>
      </c>
      <c r="AA22" s="31">
        <f t="shared" si="7"/>
        <v>4</v>
      </c>
      <c r="AB22" s="29">
        <f t="shared" si="7"/>
        <v>4</v>
      </c>
      <c r="AC22" s="30">
        <f t="shared" si="7"/>
        <v>4</v>
      </c>
      <c r="AD22" s="30">
        <f t="shared" si="7"/>
        <v>4</v>
      </c>
      <c r="AE22" s="30">
        <f t="shared" si="7"/>
        <v>4</v>
      </c>
      <c r="AF22" s="30">
        <f t="shared" si="7"/>
        <v>4</v>
      </c>
      <c r="AG22" s="30">
        <f t="shared" si="7"/>
        <v>4</v>
      </c>
      <c r="AH22" s="30">
        <f t="shared" si="7"/>
        <v>6</v>
      </c>
      <c r="AI22" s="30">
        <f t="shared" si="7"/>
        <v>4</v>
      </c>
      <c r="AJ22" s="30">
        <f t="shared" si="8"/>
        <v>4</v>
      </c>
      <c r="AK22" s="30">
        <f t="shared" si="8"/>
        <v>4</v>
      </c>
      <c r="AL22" s="30">
        <f t="shared" si="8"/>
        <v>6</v>
      </c>
      <c r="AM22" s="30">
        <f t="shared" si="8"/>
        <v>4</v>
      </c>
      <c r="AN22" s="30">
        <f t="shared" si="8"/>
        <v>6</v>
      </c>
      <c r="AO22" s="30">
        <f t="shared" si="8"/>
        <v>6</v>
      </c>
      <c r="AP22" s="30">
        <f t="shared" si="8"/>
        <v>4</v>
      </c>
      <c r="AQ22" s="30">
        <f t="shared" si="8"/>
        <v>6</v>
      </c>
      <c r="AR22" s="30">
        <f t="shared" si="8"/>
        <v>4</v>
      </c>
      <c r="AS22" s="30">
        <f t="shared" si="8"/>
        <v>4</v>
      </c>
      <c r="AT22" s="30">
        <f t="shared" si="9"/>
        <v>4</v>
      </c>
      <c r="AU22" s="30">
        <f t="shared" si="9"/>
        <v>4</v>
      </c>
      <c r="AV22" s="30">
        <f t="shared" si="9"/>
        <v>4</v>
      </c>
      <c r="AW22" s="30">
        <f t="shared" si="9"/>
        <v>4</v>
      </c>
      <c r="AX22" s="30">
        <f t="shared" si="9"/>
        <v>6</v>
      </c>
      <c r="AY22" s="30">
        <f t="shared" si="9"/>
        <v>4</v>
      </c>
      <c r="AZ22" s="30">
        <f t="shared" si="9"/>
        <v>4</v>
      </c>
      <c r="BA22" s="31">
        <f t="shared" si="9"/>
        <v>4</v>
      </c>
    </row>
    <row r="23" spans="1:53" ht="37.35" customHeight="1" x14ac:dyDescent="0.2">
      <c r="A23" s="28" t="s">
        <v>77</v>
      </c>
      <c r="B23" s="25"/>
      <c r="C23" s="25"/>
      <c r="D23" s="25"/>
      <c r="E23" s="27">
        <v>1</v>
      </c>
      <c r="F23" s="29">
        <f t="shared" si="5"/>
        <v>3</v>
      </c>
      <c r="G23" s="30">
        <f t="shared" si="5"/>
        <v>1</v>
      </c>
      <c r="H23" s="30">
        <f t="shared" si="5"/>
        <v>2</v>
      </c>
      <c r="I23" s="30">
        <f t="shared" si="5"/>
        <v>4</v>
      </c>
      <c r="J23" s="30">
        <f t="shared" si="5"/>
        <v>4</v>
      </c>
      <c r="K23" s="30">
        <f t="shared" si="5"/>
        <v>4</v>
      </c>
      <c r="L23" s="30">
        <f t="shared" si="5"/>
        <v>1</v>
      </c>
      <c r="M23" s="30">
        <f t="shared" si="5"/>
        <v>4</v>
      </c>
      <c r="N23" s="30">
        <f t="shared" si="5"/>
        <v>2</v>
      </c>
      <c r="O23" s="30">
        <f t="shared" si="5"/>
        <v>3</v>
      </c>
      <c r="P23" s="30">
        <f t="shared" si="6"/>
        <v>3</v>
      </c>
      <c r="Q23" s="30">
        <f t="shared" si="6"/>
        <v>2</v>
      </c>
      <c r="R23" s="31">
        <f t="shared" si="6"/>
        <v>3</v>
      </c>
      <c r="S23" s="29">
        <f t="shared" si="6"/>
        <v>2</v>
      </c>
      <c r="T23" s="30">
        <f t="shared" si="6"/>
        <v>2</v>
      </c>
      <c r="U23" s="30">
        <f t="shared" si="6"/>
        <v>3</v>
      </c>
      <c r="V23" s="30">
        <f t="shared" si="6"/>
        <v>1</v>
      </c>
      <c r="W23" s="30">
        <f t="shared" si="6"/>
        <v>1</v>
      </c>
      <c r="X23" s="30">
        <f t="shared" si="6"/>
        <v>2</v>
      </c>
      <c r="Y23" s="30">
        <f t="shared" si="6"/>
        <v>2</v>
      </c>
      <c r="Z23" s="30">
        <f t="shared" si="7"/>
        <v>2</v>
      </c>
      <c r="AA23" s="31">
        <f t="shared" si="7"/>
        <v>2</v>
      </c>
      <c r="AB23" s="29">
        <f t="shared" si="7"/>
        <v>2</v>
      </c>
      <c r="AC23" s="30">
        <f t="shared" si="7"/>
        <v>2</v>
      </c>
      <c r="AD23" s="30">
        <f t="shared" si="7"/>
        <v>2</v>
      </c>
      <c r="AE23" s="30">
        <f t="shared" si="7"/>
        <v>2</v>
      </c>
      <c r="AF23" s="30">
        <f t="shared" si="7"/>
        <v>2</v>
      </c>
      <c r="AG23" s="30">
        <f t="shared" si="7"/>
        <v>2</v>
      </c>
      <c r="AH23" s="30">
        <f t="shared" si="7"/>
        <v>3</v>
      </c>
      <c r="AI23" s="30">
        <f t="shared" si="7"/>
        <v>2</v>
      </c>
      <c r="AJ23" s="30">
        <f t="shared" si="8"/>
        <v>2</v>
      </c>
      <c r="AK23" s="30">
        <f t="shared" si="8"/>
        <v>2</v>
      </c>
      <c r="AL23" s="30">
        <f t="shared" si="8"/>
        <v>3</v>
      </c>
      <c r="AM23" s="30">
        <f t="shared" si="8"/>
        <v>2</v>
      </c>
      <c r="AN23" s="30">
        <f t="shared" si="8"/>
        <v>3</v>
      </c>
      <c r="AO23" s="30">
        <f t="shared" si="8"/>
        <v>3</v>
      </c>
      <c r="AP23" s="30">
        <f t="shared" si="8"/>
        <v>2</v>
      </c>
      <c r="AQ23" s="30">
        <f t="shared" si="8"/>
        <v>3</v>
      </c>
      <c r="AR23" s="30">
        <f t="shared" si="8"/>
        <v>2</v>
      </c>
      <c r="AS23" s="30">
        <f t="shared" si="8"/>
        <v>2</v>
      </c>
      <c r="AT23" s="30">
        <f t="shared" si="9"/>
        <v>2</v>
      </c>
      <c r="AU23" s="30">
        <f t="shared" si="9"/>
        <v>2</v>
      </c>
      <c r="AV23" s="30">
        <f t="shared" si="9"/>
        <v>2</v>
      </c>
      <c r="AW23" s="30">
        <f t="shared" si="9"/>
        <v>2</v>
      </c>
      <c r="AX23" s="30">
        <f t="shared" si="9"/>
        <v>3</v>
      </c>
      <c r="AY23" s="30">
        <f t="shared" si="9"/>
        <v>2</v>
      </c>
      <c r="AZ23" s="30">
        <f t="shared" si="9"/>
        <v>2</v>
      </c>
      <c r="BA23" s="31">
        <f t="shared" si="9"/>
        <v>2</v>
      </c>
    </row>
    <row r="24" spans="1:53" ht="37.35" customHeight="1" x14ac:dyDescent="0.2">
      <c r="A24" s="28" t="s">
        <v>78</v>
      </c>
      <c r="B24" s="25"/>
      <c r="C24" s="25"/>
      <c r="D24" s="25"/>
      <c r="E24" s="27">
        <v>2</v>
      </c>
      <c r="F24" s="29">
        <f t="shared" si="5"/>
        <v>6</v>
      </c>
      <c r="G24" s="30">
        <f t="shared" si="5"/>
        <v>2</v>
      </c>
      <c r="H24" s="30">
        <f t="shared" si="5"/>
        <v>4</v>
      </c>
      <c r="I24" s="30">
        <f t="shared" si="5"/>
        <v>8</v>
      </c>
      <c r="J24" s="30">
        <f t="shared" si="5"/>
        <v>8</v>
      </c>
      <c r="K24" s="30">
        <f t="shared" si="5"/>
        <v>8</v>
      </c>
      <c r="L24" s="30">
        <f t="shared" si="5"/>
        <v>2</v>
      </c>
      <c r="M24" s="30">
        <f t="shared" si="5"/>
        <v>8</v>
      </c>
      <c r="N24" s="30">
        <f t="shared" si="5"/>
        <v>4</v>
      </c>
      <c r="O24" s="30">
        <f t="shared" si="5"/>
        <v>6</v>
      </c>
      <c r="P24" s="30">
        <f t="shared" si="6"/>
        <v>6</v>
      </c>
      <c r="Q24" s="30">
        <f t="shared" si="6"/>
        <v>4</v>
      </c>
      <c r="R24" s="31">
        <f t="shared" si="6"/>
        <v>6</v>
      </c>
      <c r="S24" s="29">
        <f t="shared" si="6"/>
        <v>4</v>
      </c>
      <c r="T24" s="30">
        <f t="shared" si="6"/>
        <v>4</v>
      </c>
      <c r="U24" s="30">
        <f t="shared" si="6"/>
        <v>6</v>
      </c>
      <c r="V24" s="30">
        <f t="shared" si="6"/>
        <v>2</v>
      </c>
      <c r="W24" s="30">
        <f t="shared" si="6"/>
        <v>2</v>
      </c>
      <c r="X24" s="30">
        <f t="shared" si="6"/>
        <v>4</v>
      </c>
      <c r="Y24" s="30">
        <f t="shared" si="6"/>
        <v>4</v>
      </c>
      <c r="Z24" s="30">
        <f t="shared" si="7"/>
        <v>4</v>
      </c>
      <c r="AA24" s="31">
        <f t="shared" si="7"/>
        <v>4</v>
      </c>
      <c r="AB24" s="29">
        <f t="shared" si="7"/>
        <v>4</v>
      </c>
      <c r="AC24" s="30">
        <f t="shared" si="7"/>
        <v>4</v>
      </c>
      <c r="AD24" s="30">
        <f t="shared" si="7"/>
        <v>4</v>
      </c>
      <c r="AE24" s="30">
        <f t="shared" si="7"/>
        <v>4</v>
      </c>
      <c r="AF24" s="30">
        <f t="shared" si="7"/>
        <v>4</v>
      </c>
      <c r="AG24" s="30">
        <f t="shared" si="7"/>
        <v>4</v>
      </c>
      <c r="AH24" s="30">
        <f t="shared" si="7"/>
        <v>6</v>
      </c>
      <c r="AI24" s="30">
        <f t="shared" si="7"/>
        <v>4</v>
      </c>
      <c r="AJ24" s="30">
        <f t="shared" si="8"/>
        <v>4</v>
      </c>
      <c r="AK24" s="30">
        <f t="shared" si="8"/>
        <v>4</v>
      </c>
      <c r="AL24" s="30">
        <f t="shared" si="8"/>
        <v>6</v>
      </c>
      <c r="AM24" s="30">
        <f t="shared" si="8"/>
        <v>4</v>
      </c>
      <c r="AN24" s="30">
        <f t="shared" si="8"/>
        <v>6</v>
      </c>
      <c r="AO24" s="30">
        <f t="shared" si="8"/>
        <v>6</v>
      </c>
      <c r="AP24" s="30">
        <f t="shared" si="8"/>
        <v>4</v>
      </c>
      <c r="AQ24" s="30">
        <f t="shared" si="8"/>
        <v>6</v>
      </c>
      <c r="AR24" s="30">
        <f t="shared" si="8"/>
        <v>4</v>
      </c>
      <c r="AS24" s="30">
        <f t="shared" si="8"/>
        <v>4</v>
      </c>
      <c r="AT24" s="30">
        <f t="shared" si="9"/>
        <v>4</v>
      </c>
      <c r="AU24" s="30">
        <f t="shared" si="9"/>
        <v>4</v>
      </c>
      <c r="AV24" s="30">
        <f t="shared" si="9"/>
        <v>4</v>
      </c>
      <c r="AW24" s="30">
        <f t="shared" si="9"/>
        <v>4</v>
      </c>
      <c r="AX24" s="30">
        <f t="shared" si="9"/>
        <v>6</v>
      </c>
      <c r="AY24" s="30">
        <f t="shared" si="9"/>
        <v>4</v>
      </c>
      <c r="AZ24" s="30">
        <f t="shared" si="9"/>
        <v>4</v>
      </c>
      <c r="BA24" s="31">
        <f t="shared" si="9"/>
        <v>4</v>
      </c>
    </row>
    <row r="25" spans="1:53" ht="37.35" customHeight="1" x14ac:dyDescent="0.2">
      <c r="A25" s="28" t="s">
        <v>79</v>
      </c>
      <c r="B25" s="25"/>
      <c r="C25" s="25"/>
      <c r="D25" s="25"/>
      <c r="E25" s="27">
        <v>2</v>
      </c>
      <c r="F25" s="29">
        <f t="shared" si="5"/>
        <v>6</v>
      </c>
      <c r="G25" s="30">
        <f t="shared" si="5"/>
        <v>2</v>
      </c>
      <c r="H25" s="30">
        <f t="shared" si="5"/>
        <v>4</v>
      </c>
      <c r="I25" s="30">
        <f t="shared" si="5"/>
        <v>8</v>
      </c>
      <c r="J25" s="30">
        <f t="shared" si="5"/>
        <v>8</v>
      </c>
      <c r="K25" s="30">
        <f t="shared" si="5"/>
        <v>8</v>
      </c>
      <c r="L25" s="30">
        <f t="shared" si="5"/>
        <v>2</v>
      </c>
      <c r="M25" s="30">
        <f t="shared" si="5"/>
        <v>8</v>
      </c>
      <c r="N25" s="30">
        <f t="shared" si="5"/>
        <v>4</v>
      </c>
      <c r="O25" s="30">
        <f t="shared" si="5"/>
        <v>6</v>
      </c>
      <c r="P25" s="30">
        <f t="shared" si="6"/>
        <v>6</v>
      </c>
      <c r="Q25" s="30">
        <f t="shared" si="6"/>
        <v>4</v>
      </c>
      <c r="R25" s="31">
        <f t="shared" si="6"/>
        <v>6</v>
      </c>
      <c r="S25" s="29">
        <f t="shared" si="6"/>
        <v>4</v>
      </c>
      <c r="T25" s="30">
        <f t="shared" si="6"/>
        <v>4</v>
      </c>
      <c r="U25" s="30">
        <f t="shared" si="6"/>
        <v>6</v>
      </c>
      <c r="V25" s="30">
        <f t="shared" si="6"/>
        <v>2</v>
      </c>
      <c r="W25" s="30">
        <f t="shared" si="6"/>
        <v>2</v>
      </c>
      <c r="X25" s="30">
        <f t="shared" si="6"/>
        <v>4</v>
      </c>
      <c r="Y25" s="30">
        <f t="shared" si="6"/>
        <v>4</v>
      </c>
      <c r="Z25" s="30">
        <f t="shared" si="7"/>
        <v>4</v>
      </c>
      <c r="AA25" s="31">
        <f t="shared" si="7"/>
        <v>4</v>
      </c>
      <c r="AB25" s="29">
        <f t="shared" si="7"/>
        <v>4</v>
      </c>
      <c r="AC25" s="30">
        <f t="shared" si="7"/>
        <v>4</v>
      </c>
      <c r="AD25" s="30">
        <f t="shared" si="7"/>
        <v>4</v>
      </c>
      <c r="AE25" s="30">
        <f t="shared" si="7"/>
        <v>4</v>
      </c>
      <c r="AF25" s="30">
        <f t="shared" si="7"/>
        <v>4</v>
      </c>
      <c r="AG25" s="30">
        <f t="shared" si="7"/>
        <v>4</v>
      </c>
      <c r="AH25" s="30">
        <f t="shared" si="7"/>
        <v>6</v>
      </c>
      <c r="AI25" s="30">
        <f t="shared" si="7"/>
        <v>4</v>
      </c>
      <c r="AJ25" s="30">
        <f t="shared" si="8"/>
        <v>4</v>
      </c>
      <c r="AK25" s="30">
        <f t="shared" si="8"/>
        <v>4</v>
      </c>
      <c r="AL25" s="30">
        <f t="shared" si="8"/>
        <v>6</v>
      </c>
      <c r="AM25" s="30">
        <f t="shared" si="8"/>
        <v>4</v>
      </c>
      <c r="AN25" s="30">
        <f t="shared" si="8"/>
        <v>6</v>
      </c>
      <c r="AO25" s="30">
        <f t="shared" si="8"/>
        <v>6</v>
      </c>
      <c r="AP25" s="30">
        <f t="shared" si="8"/>
        <v>4</v>
      </c>
      <c r="AQ25" s="30">
        <f t="shared" si="8"/>
        <v>6</v>
      </c>
      <c r="AR25" s="30">
        <f t="shared" si="8"/>
        <v>4</v>
      </c>
      <c r="AS25" s="30">
        <f t="shared" si="8"/>
        <v>4</v>
      </c>
      <c r="AT25" s="30">
        <f t="shared" si="9"/>
        <v>4</v>
      </c>
      <c r="AU25" s="30">
        <f t="shared" si="9"/>
        <v>4</v>
      </c>
      <c r="AV25" s="30">
        <f t="shared" si="9"/>
        <v>4</v>
      </c>
      <c r="AW25" s="30">
        <f t="shared" si="9"/>
        <v>4</v>
      </c>
      <c r="AX25" s="30">
        <f t="shared" si="9"/>
        <v>6</v>
      </c>
      <c r="AY25" s="30">
        <f t="shared" si="9"/>
        <v>4</v>
      </c>
      <c r="AZ25" s="30">
        <f t="shared" si="9"/>
        <v>4</v>
      </c>
      <c r="BA25" s="31">
        <f t="shared" si="9"/>
        <v>4</v>
      </c>
    </row>
    <row r="26" spans="1:53" ht="37.35" customHeight="1" x14ac:dyDescent="0.2">
      <c r="A26" s="28" t="s">
        <v>80</v>
      </c>
      <c r="B26" s="25"/>
      <c r="C26" s="25"/>
      <c r="D26" s="25"/>
      <c r="E26" s="27">
        <v>3</v>
      </c>
      <c r="F26" s="29">
        <f t="shared" si="5"/>
        <v>9</v>
      </c>
      <c r="G26" s="30">
        <f t="shared" si="5"/>
        <v>3</v>
      </c>
      <c r="H26" s="30">
        <f t="shared" si="5"/>
        <v>6</v>
      </c>
      <c r="I26" s="30">
        <f t="shared" si="5"/>
        <v>12</v>
      </c>
      <c r="J26" s="30">
        <f t="shared" si="5"/>
        <v>12</v>
      </c>
      <c r="K26" s="30">
        <f t="shared" si="5"/>
        <v>12</v>
      </c>
      <c r="L26" s="30">
        <f t="shared" si="5"/>
        <v>3</v>
      </c>
      <c r="M26" s="30">
        <f t="shared" si="5"/>
        <v>12</v>
      </c>
      <c r="N26" s="30">
        <f t="shared" si="5"/>
        <v>6</v>
      </c>
      <c r="O26" s="30">
        <f t="shared" si="5"/>
        <v>9</v>
      </c>
      <c r="P26" s="30">
        <f t="shared" si="6"/>
        <v>9</v>
      </c>
      <c r="Q26" s="30">
        <f t="shared" si="6"/>
        <v>6</v>
      </c>
      <c r="R26" s="31">
        <f t="shared" si="6"/>
        <v>9</v>
      </c>
      <c r="S26" s="29">
        <f t="shared" si="6"/>
        <v>6</v>
      </c>
      <c r="T26" s="30">
        <f t="shared" si="6"/>
        <v>6</v>
      </c>
      <c r="U26" s="30">
        <f t="shared" si="6"/>
        <v>9</v>
      </c>
      <c r="V26" s="30">
        <f t="shared" si="6"/>
        <v>3</v>
      </c>
      <c r="W26" s="30">
        <f t="shared" si="6"/>
        <v>3</v>
      </c>
      <c r="X26" s="30">
        <f t="shared" si="6"/>
        <v>6</v>
      </c>
      <c r="Y26" s="30">
        <f t="shared" si="6"/>
        <v>6</v>
      </c>
      <c r="Z26" s="30">
        <f t="shared" si="7"/>
        <v>6</v>
      </c>
      <c r="AA26" s="31">
        <f t="shared" si="7"/>
        <v>6</v>
      </c>
      <c r="AB26" s="29">
        <f t="shared" si="7"/>
        <v>6</v>
      </c>
      <c r="AC26" s="30">
        <f t="shared" si="7"/>
        <v>6</v>
      </c>
      <c r="AD26" s="30">
        <f t="shared" si="7"/>
        <v>6</v>
      </c>
      <c r="AE26" s="30">
        <f t="shared" si="7"/>
        <v>6</v>
      </c>
      <c r="AF26" s="30">
        <f t="shared" si="7"/>
        <v>6</v>
      </c>
      <c r="AG26" s="30">
        <f t="shared" si="7"/>
        <v>6</v>
      </c>
      <c r="AH26" s="30">
        <f t="shared" si="7"/>
        <v>9</v>
      </c>
      <c r="AI26" s="30">
        <f t="shared" si="7"/>
        <v>6</v>
      </c>
      <c r="AJ26" s="30">
        <f t="shared" si="8"/>
        <v>6</v>
      </c>
      <c r="AK26" s="30">
        <f t="shared" si="8"/>
        <v>6</v>
      </c>
      <c r="AL26" s="30">
        <f t="shared" si="8"/>
        <v>9</v>
      </c>
      <c r="AM26" s="30">
        <f t="shared" si="8"/>
        <v>6</v>
      </c>
      <c r="AN26" s="30">
        <f t="shared" si="8"/>
        <v>9</v>
      </c>
      <c r="AO26" s="30">
        <f t="shared" si="8"/>
        <v>9</v>
      </c>
      <c r="AP26" s="30">
        <f t="shared" si="8"/>
        <v>6</v>
      </c>
      <c r="AQ26" s="30">
        <f t="shared" si="8"/>
        <v>9</v>
      </c>
      <c r="AR26" s="30">
        <f t="shared" si="8"/>
        <v>6</v>
      </c>
      <c r="AS26" s="30">
        <f t="shared" si="8"/>
        <v>6</v>
      </c>
      <c r="AT26" s="30">
        <f t="shared" si="9"/>
        <v>6</v>
      </c>
      <c r="AU26" s="30">
        <f t="shared" si="9"/>
        <v>6</v>
      </c>
      <c r="AV26" s="30">
        <f t="shared" si="9"/>
        <v>6</v>
      </c>
      <c r="AW26" s="30">
        <f t="shared" si="9"/>
        <v>6</v>
      </c>
      <c r="AX26" s="30">
        <f t="shared" si="9"/>
        <v>9</v>
      </c>
      <c r="AY26" s="30">
        <f t="shared" si="9"/>
        <v>6</v>
      </c>
      <c r="AZ26" s="30">
        <f t="shared" si="9"/>
        <v>6</v>
      </c>
      <c r="BA26" s="31">
        <f t="shared" si="9"/>
        <v>6</v>
      </c>
    </row>
  </sheetData>
  <sheetProtection sheet="1" objects="1" scenarios="1"/>
  <mergeCells count="5">
    <mergeCell ref="A2:A4"/>
    <mergeCell ref="E2:E4"/>
    <mergeCell ref="B3:B4"/>
    <mergeCell ref="C3:C4"/>
    <mergeCell ref="D3:D4"/>
  </mergeCells>
  <phoneticPr fontId="0" type="noConversion"/>
  <conditionalFormatting sqref="F5:BA26">
    <cfRule type="cellIs" dxfId="11" priority="1" stopIfTrue="1" operator="between">
      <formula>1</formula>
      <formula>6</formula>
    </cfRule>
    <cfRule type="cellIs" dxfId="10" priority="2" stopIfTrue="1" operator="between">
      <formula>8</formula>
      <formula>9</formula>
    </cfRule>
    <cfRule type="cellIs" dxfId="9" priority="3" stopIfTrue="1" operator="between">
      <formula>12</formula>
      <formula>16</formula>
    </cfRule>
  </conditionalFormatting>
  <dataValidations count="2">
    <dataValidation type="list" operator="equal" allowBlank="1" showErrorMessage="1" sqref="F4:BA4 E5:E26" xr:uid="{00000000-0002-0000-0000-000000000000}">
      <formula1>Escala</formula1>
      <formula2>0</formula2>
    </dataValidation>
    <dataValidation type="list" operator="equal" allowBlank="1" showErrorMessage="1" sqref="B5:D26" xr:uid="{00000000-0002-0000-0000-000001000000}">
      <formula1>"x"</formula1>
      <formula2>0</formula2>
    </dataValidation>
  </dataValidations>
  <pageMargins left="0.39374999999999999" right="0.39374999999999999" top="0.63124999999999998" bottom="0.63124999999999998" header="0.39374999999999999" footer="0.39374999999999999"/>
  <pageSetup paperSize="5" orientation="landscape" useFirstPageNumber="1" horizontalDpi="300" verticalDpi="300"/>
  <headerFooter alignWithMargins="0">
    <oddHeader>&amp;L&amp;"Arial,Normal"&amp;F&amp;C&amp;"Arial,Normal"&amp;A</oddHeader>
    <oddFooter>&amp;C&amp;"Arial,Normal"Page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A20"/>
  <sheetViews>
    <sheetView showGridLines="0" zoomScale="30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U4" sqref="U4"/>
    </sheetView>
  </sheetViews>
  <sheetFormatPr baseColWidth="10" defaultColWidth="10.08984375" defaultRowHeight="12.6" x14ac:dyDescent="0.2"/>
  <cols>
    <col min="1" max="1" width="28.6328125" style="1" customWidth="1"/>
    <col min="2" max="4" width="6.26953125" style="1" customWidth="1"/>
    <col min="5" max="5" width="17.453125" style="1" bestFit="1" customWidth="1"/>
    <col min="6" max="53" width="6.26953125" style="1" customWidth="1"/>
    <col min="54" max="16384" width="10.08984375" style="1"/>
  </cols>
  <sheetData>
    <row r="1" spans="1:53" ht="28.35" customHeight="1" x14ac:dyDescent="0.2">
      <c r="A1" s="2" t="str">
        <f>'1_Datos'!A1</f>
        <v>Matriz de Análisis de Riesgo</v>
      </c>
      <c r="B1" s="3"/>
      <c r="C1" s="3"/>
      <c r="D1" s="3"/>
      <c r="E1" s="4"/>
      <c r="F1" s="14" t="str">
        <f>'1_Datos'!F1</f>
        <v>Probabilidad de Amenaza [1 = Insignificante, 2 = Baja,  3= Mediana, 4 = Alta]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7"/>
    </row>
    <row r="2" spans="1:53" ht="22.65" customHeight="1" x14ac:dyDescent="0.2">
      <c r="A2" s="66" t="s">
        <v>81</v>
      </c>
      <c r="B2" s="8" t="str">
        <f>'1_Datos'!B2</f>
        <v>Clasificación</v>
      </c>
      <c r="C2" s="9"/>
      <c r="D2" s="10"/>
      <c r="E2" s="69" t="str">
        <f>'1_Datos'!E2:E4</f>
        <v>Magnitud de Daño:
[1 = Insignificante
2 = Bajo
3 = Mediano
4 = Alto]</v>
      </c>
      <c r="F2" s="11" t="str">
        <f>'1_Datos'!F2</f>
        <v>Actos originados por la criminalidad común y motivación política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4" t="str">
        <f>'1_Datos'!S2</f>
        <v>Sucesos de origen físico</v>
      </c>
      <c r="T2" s="15"/>
      <c r="U2" s="15"/>
      <c r="V2" s="15"/>
      <c r="W2" s="15"/>
      <c r="X2" s="15"/>
      <c r="Y2" s="15"/>
      <c r="Z2" s="15"/>
      <c r="AA2" s="16"/>
      <c r="AB2" s="11" t="str">
        <f>'1_Datos'!AB2</f>
        <v>Sucesos derivados de la impericia, negligencia de usuarios/as y decisiones institucionales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3"/>
    </row>
    <row r="3" spans="1:53" ht="205.5" customHeight="1" x14ac:dyDescent="0.2">
      <c r="A3" s="66"/>
      <c r="B3" s="68" t="s">
        <v>82</v>
      </c>
      <c r="C3" s="68" t="s">
        <v>83</v>
      </c>
      <c r="D3" s="68" t="str">
        <f>'1_Datos'!D3</f>
        <v>Costo de recuperación (tiempo, económico, material, imagen, emocional)</v>
      </c>
      <c r="E3" s="69"/>
      <c r="F3" s="17" t="str">
        <f>'1_Datos'!F3</f>
        <v>Allanamiento (ilegal, legal)</v>
      </c>
      <c r="G3" s="18" t="str">
        <f>'1_Datos'!G3</f>
        <v>Persecución (civil, fiscal, penal)</v>
      </c>
      <c r="H3" s="18" t="str">
        <f>'1_Datos'!H3</f>
        <v>Orden de secuestro / Detención</v>
      </c>
      <c r="I3" s="18" t="str">
        <f>'1_Datos'!I3</f>
        <v>Sabotaje (ataque físico y electrónico)</v>
      </c>
      <c r="J3" s="18" t="str">
        <f>'1_Datos'!J3</f>
        <v>Daños por vandalismo</v>
      </c>
      <c r="K3" s="18" t="str">
        <f>'1_Datos'!K3</f>
        <v>Extorsión</v>
      </c>
      <c r="L3" s="18" t="str">
        <f>'1_Datos'!L3</f>
        <v>Fraude / Estafa</v>
      </c>
      <c r="M3" s="18" t="str">
        <f>'1_Datos'!M3</f>
        <v>Robo / Hurto (físico)</v>
      </c>
      <c r="N3" s="18" t="str">
        <f>'1_Datos'!N3</f>
        <v>Robo / Hurto de información electrónica</v>
      </c>
      <c r="O3" s="18" t="str">
        <f>'1_Datos'!O3</f>
        <v>Intrusión a Red interna</v>
      </c>
      <c r="P3" s="18" t="str">
        <f>'1_Datos'!P3</f>
        <v>Infiltración</v>
      </c>
      <c r="Q3" s="18" t="str">
        <f>'1_Datos'!Q3</f>
        <v>Virus / Ejecución no autorizado de programas</v>
      </c>
      <c r="R3" s="20" t="str">
        <f>'1_Datos'!R3</f>
        <v>Violación a derechos de autor</v>
      </c>
      <c r="S3" s="21" t="str">
        <f>'1_Datos'!S3</f>
        <v>Incendio</v>
      </c>
      <c r="T3" s="22" t="str">
        <f>'1_Datos'!T3</f>
        <v>Inundación / deslave</v>
      </c>
      <c r="U3" s="22" t="str">
        <f>'1_Datos'!U3</f>
        <v>Sismo</v>
      </c>
      <c r="V3" s="22" t="str">
        <f>'1_Datos'!V3</f>
        <v>Polvo</v>
      </c>
      <c r="W3" s="22" t="str">
        <f>'1_Datos'!W3</f>
        <v>Falta de ventilación</v>
      </c>
      <c r="X3" s="22" t="str">
        <f>'1_Datos'!X3</f>
        <v>Electromagnetismo</v>
      </c>
      <c r="Y3" s="22" t="str">
        <f>'1_Datos'!Y3</f>
        <v>Sobrecarga eléctrica</v>
      </c>
      <c r="Z3" s="22" t="str">
        <f>'1_Datos'!Z3</f>
        <v>Falla de corriente (apagones)</v>
      </c>
      <c r="AA3" s="23" t="str">
        <f>'1_Datos'!AA3</f>
        <v>Falla de sistema / Daño disco duro</v>
      </c>
      <c r="AB3" s="17" t="str">
        <f>'1_Datos'!AB3</f>
        <v>Falta de inducción, capacitación y sensibilización sobre riesgos</v>
      </c>
      <c r="AC3" s="18" t="str">
        <f>'1_Datos'!AC3</f>
        <v>Mal manejo de sistemas y herramientas</v>
      </c>
      <c r="AD3" s="18" t="str">
        <f>'1_Datos'!AD3</f>
        <v>Utilización de programas no autorizados / software 'pirateado'</v>
      </c>
      <c r="AE3" s="18" t="str">
        <f>'1_Datos'!AE3</f>
        <v>Falta de pruebas de software nuevo con datos productivos</v>
      </c>
      <c r="AF3" s="18" t="str">
        <f>'1_Datos'!AF3</f>
        <v>Perdida de datos</v>
      </c>
      <c r="AG3" s="18" t="str">
        <f>'1_Datos'!AG3</f>
        <v>Infección de sistemas a través de unidades portables sin escaneo</v>
      </c>
      <c r="AH3" s="18" t="str">
        <f>'1_Datos'!AH3</f>
        <v>Manejo inadecuado de datos críticos (codificar, borrar, etc.)</v>
      </c>
      <c r="AI3" s="18" t="str">
        <f>'1_Datos'!AI3</f>
        <v>Unidades portables con información sin cifrado</v>
      </c>
      <c r="AJ3" s="18" t="str">
        <f>'1_Datos'!AJ3</f>
        <v>Transmisión no cifrada de datos críticos</v>
      </c>
      <c r="AK3" s="18" t="str">
        <f>'1_Datos'!AK3</f>
        <v>Manejo inadecuado de contraseñas (inseguras, no cambiar, compartidas, BD centralizada)</v>
      </c>
      <c r="AL3" s="18" t="str">
        <f>'1_Datos'!AL3</f>
        <v>Compartir contraseñas o permisos a terceros no autorizados</v>
      </c>
      <c r="AM3" s="18" t="str">
        <f>'1_Datos'!AM3</f>
        <v>Transmisión de contraseñas por teléfono</v>
      </c>
      <c r="AN3" s="18" t="str">
        <f>'1_Datos'!AN3</f>
        <v>Exposición o extravío de equipo, unidades de almacenamiento, etc</v>
      </c>
      <c r="AO3" s="18" t="str">
        <f>'1_Datos'!AO3</f>
        <v>Sobrepasar autoridades</v>
      </c>
      <c r="AP3" s="18" t="str">
        <f>'1_Datos'!AP3</f>
        <v>Falta de definición de perfil, privilegios y restricciones del personal</v>
      </c>
      <c r="AQ3" s="18" t="str">
        <f>'1_Datos'!AQ3</f>
        <v>Falta de mantenimiento físico (proceso, repuestos e insumos)</v>
      </c>
      <c r="AR3" s="18" t="str">
        <f>'1_Datos'!AR3</f>
        <v>Falta de actualización de software (proceso y recursos)</v>
      </c>
      <c r="AS3" s="18" t="str">
        <f>'1_Datos'!AS3</f>
        <v>Fallas en permisos de usuarios (acceso a archivos)</v>
      </c>
      <c r="AT3" s="18" t="str">
        <f>'1_Datos'!AT3</f>
        <v>Acceso electrónico no autorizado a sistemas externos</v>
      </c>
      <c r="AU3" s="18" t="str">
        <f>'1_Datos'!AU3</f>
        <v>Acceso electrónico no autorizado a sistemas internos</v>
      </c>
      <c r="AV3" s="18" t="str">
        <f>'1_Datos'!AV3</f>
        <v>Red cableada expuesta para el acceso no autorizado</v>
      </c>
      <c r="AW3" s="18" t="str">
        <f>'1_Datos'!AW3</f>
        <v>Red inalámbrica expuesta al acceso no autorizado</v>
      </c>
      <c r="AX3" s="18" t="str">
        <f>'1_Datos'!AX3</f>
        <v>Dependencia a servicio técnico externo</v>
      </c>
      <c r="AY3" s="18" t="str">
        <f>'1_Datos'!AY3</f>
        <v>Falta de normas y reglas claras (no institucionalizar el estudio de los riesgos)</v>
      </c>
      <c r="AZ3" s="18" t="str">
        <f>'1_Datos'!AZ3</f>
        <v>Falta de mecanismos de verificación de normas y reglas / Análisis inadecuado de datos de control</v>
      </c>
      <c r="BA3" s="20" t="str">
        <f>'1_Datos'!BA3</f>
        <v>Ausencia de documentación</v>
      </c>
    </row>
    <row r="4" spans="1:53" ht="28.35" customHeight="1" x14ac:dyDescent="0.2">
      <c r="A4" s="66"/>
      <c r="B4" s="68"/>
      <c r="C4" s="68"/>
      <c r="D4" s="68"/>
      <c r="E4" s="69"/>
      <c r="F4" s="32">
        <f>'1_Datos'!F4</f>
        <v>3</v>
      </c>
      <c r="G4" s="32">
        <f>'1_Datos'!G4</f>
        <v>1</v>
      </c>
      <c r="H4" s="32">
        <f>'1_Datos'!H4</f>
        <v>2</v>
      </c>
      <c r="I4" s="32">
        <f>'1_Datos'!I4</f>
        <v>4</v>
      </c>
      <c r="J4" s="32">
        <f>'1_Datos'!J4</f>
        <v>4</v>
      </c>
      <c r="K4" s="32">
        <f>'1_Datos'!K4</f>
        <v>4</v>
      </c>
      <c r="L4" s="32">
        <f>'1_Datos'!L4</f>
        <v>1</v>
      </c>
      <c r="M4" s="32">
        <f>'1_Datos'!M4</f>
        <v>4</v>
      </c>
      <c r="N4" s="32">
        <f>'1_Datos'!N4</f>
        <v>2</v>
      </c>
      <c r="O4" s="32">
        <f>'1_Datos'!O4</f>
        <v>3</v>
      </c>
      <c r="P4" s="32">
        <f>'1_Datos'!P4</f>
        <v>3</v>
      </c>
      <c r="Q4" s="32">
        <f>'1_Datos'!Q4</f>
        <v>2</v>
      </c>
      <c r="R4" s="32">
        <f>'1_Datos'!R4</f>
        <v>3</v>
      </c>
      <c r="S4" s="33">
        <f>'1_Datos'!S4</f>
        <v>2</v>
      </c>
      <c r="T4" s="32">
        <f>'1_Datos'!T4</f>
        <v>2</v>
      </c>
      <c r="U4" s="32">
        <f>'1_Datos'!U4</f>
        <v>3</v>
      </c>
      <c r="V4" s="32">
        <f>'1_Datos'!V4</f>
        <v>1</v>
      </c>
      <c r="W4" s="32">
        <f>'1_Datos'!W4</f>
        <v>1</v>
      </c>
      <c r="X4" s="32">
        <f>'1_Datos'!X4</f>
        <v>2</v>
      </c>
      <c r="Y4" s="32">
        <f>'1_Datos'!Y4</f>
        <v>2</v>
      </c>
      <c r="Z4" s="32">
        <f>'1_Datos'!Z4</f>
        <v>2</v>
      </c>
      <c r="AA4" s="34">
        <f>'1_Datos'!AA4</f>
        <v>2</v>
      </c>
      <c r="AB4" s="33">
        <f>'1_Datos'!AB4</f>
        <v>2</v>
      </c>
      <c r="AC4" s="32">
        <f>'1_Datos'!AC4</f>
        <v>2</v>
      </c>
      <c r="AD4" s="32">
        <f>'1_Datos'!AD4</f>
        <v>2</v>
      </c>
      <c r="AE4" s="32">
        <f>'1_Datos'!AE4</f>
        <v>2</v>
      </c>
      <c r="AF4" s="32">
        <f>'1_Datos'!AF4</f>
        <v>2</v>
      </c>
      <c r="AG4" s="32">
        <f>'1_Datos'!AG4</f>
        <v>2</v>
      </c>
      <c r="AH4" s="32">
        <f>'1_Datos'!AH4</f>
        <v>3</v>
      </c>
      <c r="AI4" s="32">
        <f>'1_Datos'!AI4</f>
        <v>2</v>
      </c>
      <c r="AJ4" s="32">
        <f>'1_Datos'!AJ4</f>
        <v>2</v>
      </c>
      <c r="AK4" s="32">
        <f>'1_Datos'!AK4</f>
        <v>2</v>
      </c>
      <c r="AL4" s="32">
        <f>'1_Datos'!AL4</f>
        <v>3</v>
      </c>
      <c r="AM4" s="32">
        <f>'1_Datos'!AM4</f>
        <v>2</v>
      </c>
      <c r="AN4" s="32">
        <f>'1_Datos'!AN4</f>
        <v>3</v>
      </c>
      <c r="AO4" s="32">
        <f>'1_Datos'!AO4</f>
        <v>3</v>
      </c>
      <c r="AP4" s="32">
        <f>'1_Datos'!AP4</f>
        <v>2</v>
      </c>
      <c r="AQ4" s="32">
        <f>'1_Datos'!AQ4</f>
        <v>3</v>
      </c>
      <c r="AR4" s="32">
        <f>'1_Datos'!AR4</f>
        <v>2</v>
      </c>
      <c r="AS4" s="32">
        <f>'1_Datos'!AS4</f>
        <v>2</v>
      </c>
      <c r="AT4" s="32">
        <f>'1_Datos'!AT4</f>
        <v>2</v>
      </c>
      <c r="AU4" s="32">
        <f>'1_Datos'!AU4</f>
        <v>2</v>
      </c>
      <c r="AV4" s="32">
        <f>'1_Datos'!AV4</f>
        <v>2</v>
      </c>
      <c r="AW4" s="32">
        <f>'1_Datos'!AW4</f>
        <v>2</v>
      </c>
      <c r="AX4" s="32">
        <f>'1_Datos'!AX4</f>
        <v>3</v>
      </c>
      <c r="AY4" s="32">
        <f>'1_Datos'!AY4</f>
        <v>2</v>
      </c>
      <c r="AZ4" s="32">
        <f>'1_Datos'!AZ4</f>
        <v>2</v>
      </c>
      <c r="BA4" s="34">
        <f>'1_Datos'!BA4</f>
        <v>2</v>
      </c>
    </row>
    <row r="5" spans="1:53" ht="37.35" customHeight="1" x14ac:dyDescent="0.2">
      <c r="A5" s="28" t="s">
        <v>84</v>
      </c>
      <c r="B5" s="25"/>
      <c r="C5" s="25"/>
      <c r="D5" s="25"/>
      <c r="E5" s="27">
        <v>3</v>
      </c>
      <c r="F5" s="29">
        <f t="shared" ref="F5:O14" si="0">IF(OR($E5="",F$4=""),"",F$4*$E5)</f>
        <v>9</v>
      </c>
      <c r="G5" s="30">
        <f t="shared" si="0"/>
        <v>3</v>
      </c>
      <c r="H5" s="30">
        <f t="shared" si="0"/>
        <v>6</v>
      </c>
      <c r="I5" s="30">
        <f t="shared" si="0"/>
        <v>12</v>
      </c>
      <c r="J5" s="30">
        <f t="shared" si="0"/>
        <v>12</v>
      </c>
      <c r="K5" s="30">
        <f t="shared" si="0"/>
        <v>12</v>
      </c>
      <c r="L5" s="30">
        <f t="shared" si="0"/>
        <v>3</v>
      </c>
      <c r="M5" s="30">
        <f t="shared" si="0"/>
        <v>12</v>
      </c>
      <c r="N5" s="30">
        <f t="shared" si="0"/>
        <v>6</v>
      </c>
      <c r="O5" s="30">
        <f t="shared" si="0"/>
        <v>9</v>
      </c>
      <c r="P5" s="30">
        <f t="shared" ref="P5:Y14" si="1">IF(OR($E5="",P$4=""),"",P$4*$E5)</f>
        <v>9</v>
      </c>
      <c r="Q5" s="30">
        <f t="shared" si="1"/>
        <v>6</v>
      </c>
      <c r="R5" s="31">
        <f t="shared" si="1"/>
        <v>9</v>
      </c>
      <c r="S5" s="29">
        <f t="shared" si="1"/>
        <v>6</v>
      </c>
      <c r="T5" s="30">
        <f t="shared" si="1"/>
        <v>6</v>
      </c>
      <c r="U5" s="30">
        <f t="shared" si="1"/>
        <v>9</v>
      </c>
      <c r="V5" s="30">
        <f t="shared" si="1"/>
        <v>3</v>
      </c>
      <c r="W5" s="30">
        <f t="shared" si="1"/>
        <v>3</v>
      </c>
      <c r="X5" s="30">
        <f t="shared" si="1"/>
        <v>6</v>
      </c>
      <c r="Y5" s="30">
        <f t="shared" si="1"/>
        <v>6</v>
      </c>
      <c r="Z5" s="30">
        <f t="shared" ref="Z5:AI14" si="2">IF(OR($E5="",Z$4=""),"",Z$4*$E5)</f>
        <v>6</v>
      </c>
      <c r="AA5" s="31">
        <f t="shared" si="2"/>
        <v>6</v>
      </c>
      <c r="AB5" s="29">
        <f t="shared" si="2"/>
        <v>6</v>
      </c>
      <c r="AC5" s="30">
        <f t="shared" si="2"/>
        <v>6</v>
      </c>
      <c r="AD5" s="30">
        <f t="shared" si="2"/>
        <v>6</v>
      </c>
      <c r="AE5" s="30">
        <f t="shared" si="2"/>
        <v>6</v>
      </c>
      <c r="AF5" s="30">
        <f t="shared" si="2"/>
        <v>6</v>
      </c>
      <c r="AG5" s="30">
        <f t="shared" si="2"/>
        <v>6</v>
      </c>
      <c r="AH5" s="30">
        <f t="shared" si="2"/>
        <v>9</v>
      </c>
      <c r="AI5" s="30">
        <f t="shared" si="2"/>
        <v>6</v>
      </c>
      <c r="AJ5" s="30">
        <f t="shared" ref="AJ5:AS14" si="3">IF(OR($E5="",AJ$4=""),"",AJ$4*$E5)</f>
        <v>6</v>
      </c>
      <c r="AK5" s="30">
        <f t="shared" si="3"/>
        <v>6</v>
      </c>
      <c r="AL5" s="30">
        <f t="shared" si="3"/>
        <v>9</v>
      </c>
      <c r="AM5" s="30">
        <f t="shared" si="3"/>
        <v>6</v>
      </c>
      <c r="AN5" s="30">
        <f t="shared" si="3"/>
        <v>9</v>
      </c>
      <c r="AO5" s="30">
        <f t="shared" si="3"/>
        <v>9</v>
      </c>
      <c r="AP5" s="30">
        <f t="shared" si="3"/>
        <v>6</v>
      </c>
      <c r="AQ5" s="30">
        <f t="shared" si="3"/>
        <v>9</v>
      </c>
      <c r="AR5" s="30">
        <f t="shared" si="3"/>
        <v>6</v>
      </c>
      <c r="AS5" s="30">
        <f t="shared" si="3"/>
        <v>6</v>
      </c>
      <c r="AT5" s="30">
        <f t="shared" ref="AT5:BA14" si="4">IF(OR($E5="",AT$4=""),"",AT$4*$E5)</f>
        <v>6</v>
      </c>
      <c r="AU5" s="30">
        <f t="shared" si="4"/>
        <v>6</v>
      </c>
      <c r="AV5" s="30">
        <f t="shared" si="4"/>
        <v>6</v>
      </c>
      <c r="AW5" s="30">
        <f t="shared" si="4"/>
        <v>6</v>
      </c>
      <c r="AX5" s="30">
        <f t="shared" si="4"/>
        <v>9</v>
      </c>
      <c r="AY5" s="30">
        <f t="shared" si="4"/>
        <v>6</v>
      </c>
      <c r="AZ5" s="30">
        <f t="shared" si="4"/>
        <v>6</v>
      </c>
      <c r="BA5" s="31">
        <f t="shared" si="4"/>
        <v>6</v>
      </c>
    </row>
    <row r="6" spans="1:53" ht="37.35" customHeight="1" x14ac:dyDescent="0.2">
      <c r="A6" s="28" t="s">
        <v>85</v>
      </c>
      <c r="B6" s="25"/>
      <c r="C6" s="25"/>
      <c r="D6" s="25"/>
      <c r="E6" s="27">
        <v>2</v>
      </c>
      <c r="F6" s="29">
        <f t="shared" si="0"/>
        <v>6</v>
      </c>
      <c r="G6" s="30">
        <f t="shared" si="0"/>
        <v>2</v>
      </c>
      <c r="H6" s="30">
        <f t="shared" si="0"/>
        <v>4</v>
      </c>
      <c r="I6" s="30">
        <f t="shared" si="0"/>
        <v>8</v>
      </c>
      <c r="J6" s="30">
        <f t="shared" si="0"/>
        <v>8</v>
      </c>
      <c r="K6" s="30">
        <f t="shared" si="0"/>
        <v>8</v>
      </c>
      <c r="L6" s="30">
        <f t="shared" si="0"/>
        <v>2</v>
      </c>
      <c r="M6" s="30">
        <f t="shared" si="0"/>
        <v>8</v>
      </c>
      <c r="N6" s="30">
        <f t="shared" si="0"/>
        <v>4</v>
      </c>
      <c r="O6" s="30">
        <f t="shared" si="0"/>
        <v>6</v>
      </c>
      <c r="P6" s="30">
        <f t="shared" si="1"/>
        <v>6</v>
      </c>
      <c r="Q6" s="30">
        <f t="shared" si="1"/>
        <v>4</v>
      </c>
      <c r="R6" s="31">
        <f t="shared" si="1"/>
        <v>6</v>
      </c>
      <c r="S6" s="29">
        <f t="shared" si="1"/>
        <v>4</v>
      </c>
      <c r="T6" s="30">
        <f t="shared" si="1"/>
        <v>4</v>
      </c>
      <c r="U6" s="30">
        <f t="shared" si="1"/>
        <v>6</v>
      </c>
      <c r="V6" s="30">
        <f t="shared" si="1"/>
        <v>2</v>
      </c>
      <c r="W6" s="30">
        <f t="shared" si="1"/>
        <v>2</v>
      </c>
      <c r="X6" s="30">
        <f t="shared" si="1"/>
        <v>4</v>
      </c>
      <c r="Y6" s="30">
        <f t="shared" si="1"/>
        <v>4</v>
      </c>
      <c r="Z6" s="30">
        <f t="shared" si="2"/>
        <v>4</v>
      </c>
      <c r="AA6" s="31">
        <f t="shared" si="2"/>
        <v>4</v>
      </c>
      <c r="AB6" s="29">
        <f t="shared" si="2"/>
        <v>4</v>
      </c>
      <c r="AC6" s="30">
        <f t="shared" si="2"/>
        <v>4</v>
      </c>
      <c r="AD6" s="30">
        <f t="shared" si="2"/>
        <v>4</v>
      </c>
      <c r="AE6" s="30">
        <f t="shared" si="2"/>
        <v>4</v>
      </c>
      <c r="AF6" s="30">
        <f t="shared" si="2"/>
        <v>4</v>
      </c>
      <c r="AG6" s="30">
        <f t="shared" si="2"/>
        <v>4</v>
      </c>
      <c r="AH6" s="30">
        <f t="shared" si="2"/>
        <v>6</v>
      </c>
      <c r="AI6" s="30">
        <f t="shared" si="2"/>
        <v>4</v>
      </c>
      <c r="AJ6" s="30">
        <f t="shared" si="3"/>
        <v>4</v>
      </c>
      <c r="AK6" s="30">
        <f t="shared" si="3"/>
        <v>4</v>
      </c>
      <c r="AL6" s="30">
        <f t="shared" si="3"/>
        <v>6</v>
      </c>
      <c r="AM6" s="30">
        <f t="shared" si="3"/>
        <v>4</v>
      </c>
      <c r="AN6" s="30">
        <f t="shared" si="3"/>
        <v>6</v>
      </c>
      <c r="AO6" s="30">
        <f t="shared" si="3"/>
        <v>6</v>
      </c>
      <c r="AP6" s="30">
        <f t="shared" si="3"/>
        <v>4</v>
      </c>
      <c r="AQ6" s="30">
        <f t="shared" si="3"/>
        <v>6</v>
      </c>
      <c r="AR6" s="30">
        <f t="shared" si="3"/>
        <v>4</v>
      </c>
      <c r="AS6" s="30">
        <f t="shared" si="3"/>
        <v>4</v>
      </c>
      <c r="AT6" s="30">
        <f t="shared" si="4"/>
        <v>4</v>
      </c>
      <c r="AU6" s="30">
        <f t="shared" si="4"/>
        <v>4</v>
      </c>
      <c r="AV6" s="30">
        <f t="shared" si="4"/>
        <v>4</v>
      </c>
      <c r="AW6" s="30">
        <f t="shared" si="4"/>
        <v>4</v>
      </c>
      <c r="AX6" s="30">
        <f t="shared" si="4"/>
        <v>6</v>
      </c>
      <c r="AY6" s="30">
        <f t="shared" si="4"/>
        <v>4</v>
      </c>
      <c r="AZ6" s="30">
        <f t="shared" si="4"/>
        <v>4</v>
      </c>
      <c r="BA6" s="31">
        <f t="shared" si="4"/>
        <v>4</v>
      </c>
    </row>
    <row r="7" spans="1:53" ht="37.35" customHeight="1" x14ac:dyDescent="0.2">
      <c r="A7" s="28" t="s">
        <v>86</v>
      </c>
      <c r="B7" s="25"/>
      <c r="C7" s="25"/>
      <c r="D7" s="25"/>
      <c r="E7" s="27">
        <v>2</v>
      </c>
      <c r="F7" s="29">
        <f t="shared" si="0"/>
        <v>6</v>
      </c>
      <c r="G7" s="30">
        <f t="shared" si="0"/>
        <v>2</v>
      </c>
      <c r="H7" s="30">
        <f t="shared" si="0"/>
        <v>4</v>
      </c>
      <c r="I7" s="30">
        <f t="shared" si="0"/>
        <v>8</v>
      </c>
      <c r="J7" s="30">
        <f t="shared" si="0"/>
        <v>8</v>
      </c>
      <c r="K7" s="30">
        <f t="shared" si="0"/>
        <v>8</v>
      </c>
      <c r="L7" s="30">
        <f t="shared" si="0"/>
        <v>2</v>
      </c>
      <c r="M7" s="30">
        <f t="shared" si="0"/>
        <v>8</v>
      </c>
      <c r="N7" s="30">
        <f t="shared" si="0"/>
        <v>4</v>
      </c>
      <c r="O7" s="30">
        <f t="shared" si="0"/>
        <v>6</v>
      </c>
      <c r="P7" s="30">
        <f t="shared" si="1"/>
        <v>6</v>
      </c>
      <c r="Q7" s="30">
        <f t="shared" si="1"/>
        <v>4</v>
      </c>
      <c r="R7" s="31">
        <f t="shared" si="1"/>
        <v>6</v>
      </c>
      <c r="S7" s="29">
        <f t="shared" si="1"/>
        <v>4</v>
      </c>
      <c r="T7" s="30">
        <f t="shared" si="1"/>
        <v>4</v>
      </c>
      <c r="U7" s="30">
        <f t="shared" si="1"/>
        <v>6</v>
      </c>
      <c r="V7" s="30">
        <f t="shared" si="1"/>
        <v>2</v>
      </c>
      <c r="W7" s="30">
        <f t="shared" si="1"/>
        <v>2</v>
      </c>
      <c r="X7" s="30">
        <f t="shared" si="1"/>
        <v>4</v>
      </c>
      <c r="Y7" s="30">
        <f t="shared" si="1"/>
        <v>4</v>
      </c>
      <c r="Z7" s="30">
        <f t="shared" si="2"/>
        <v>4</v>
      </c>
      <c r="AA7" s="31">
        <f t="shared" si="2"/>
        <v>4</v>
      </c>
      <c r="AB7" s="29">
        <f t="shared" si="2"/>
        <v>4</v>
      </c>
      <c r="AC7" s="30">
        <f t="shared" si="2"/>
        <v>4</v>
      </c>
      <c r="AD7" s="30">
        <f t="shared" si="2"/>
        <v>4</v>
      </c>
      <c r="AE7" s="30">
        <f t="shared" si="2"/>
        <v>4</v>
      </c>
      <c r="AF7" s="30">
        <f t="shared" si="2"/>
        <v>4</v>
      </c>
      <c r="AG7" s="30">
        <f t="shared" si="2"/>
        <v>4</v>
      </c>
      <c r="AH7" s="30">
        <f t="shared" si="2"/>
        <v>6</v>
      </c>
      <c r="AI7" s="30">
        <f t="shared" si="2"/>
        <v>4</v>
      </c>
      <c r="AJ7" s="30">
        <f t="shared" si="3"/>
        <v>4</v>
      </c>
      <c r="AK7" s="30">
        <f t="shared" si="3"/>
        <v>4</v>
      </c>
      <c r="AL7" s="30">
        <f t="shared" si="3"/>
        <v>6</v>
      </c>
      <c r="AM7" s="30">
        <f t="shared" si="3"/>
        <v>4</v>
      </c>
      <c r="AN7" s="30">
        <f t="shared" si="3"/>
        <v>6</v>
      </c>
      <c r="AO7" s="30">
        <f t="shared" si="3"/>
        <v>6</v>
      </c>
      <c r="AP7" s="30">
        <f t="shared" si="3"/>
        <v>4</v>
      </c>
      <c r="AQ7" s="30">
        <f t="shared" si="3"/>
        <v>6</v>
      </c>
      <c r="AR7" s="30">
        <f t="shared" si="3"/>
        <v>4</v>
      </c>
      <c r="AS7" s="30">
        <f t="shared" si="3"/>
        <v>4</v>
      </c>
      <c r="AT7" s="30">
        <f t="shared" si="4"/>
        <v>4</v>
      </c>
      <c r="AU7" s="30">
        <f t="shared" si="4"/>
        <v>4</v>
      </c>
      <c r="AV7" s="30">
        <f t="shared" si="4"/>
        <v>4</v>
      </c>
      <c r="AW7" s="30">
        <f t="shared" si="4"/>
        <v>4</v>
      </c>
      <c r="AX7" s="30">
        <f t="shared" si="4"/>
        <v>6</v>
      </c>
      <c r="AY7" s="30">
        <f t="shared" si="4"/>
        <v>4</v>
      </c>
      <c r="AZ7" s="30">
        <f t="shared" si="4"/>
        <v>4</v>
      </c>
      <c r="BA7" s="31">
        <f t="shared" si="4"/>
        <v>4</v>
      </c>
    </row>
    <row r="8" spans="1:53" ht="37.35" customHeight="1" x14ac:dyDescent="0.2">
      <c r="A8" s="28" t="s">
        <v>87</v>
      </c>
      <c r="B8" s="25"/>
      <c r="C8" s="25"/>
      <c r="D8" s="25"/>
      <c r="E8" s="27">
        <v>4</v>
      </c>
      <c r="F8" s="29">
        <f t="shared" si="0"/>
        <v>12</v>
      </c>
      <c r="G8" s="30">
        <f t="shared" si="0"/>
        <v>4</v>
      </c>
      <c r="H8" s="30">
        <f t="shared" si="0"/>
        <v>8</v>
      </c>
      <c r="I8" s="30">
        <f t="shared" si="0"/>
        <v>16</v>
      </c>
      <c r="J8" s="30">
        <f t="shared" si="0"/>
        <v>16</v>
      </c>
      <c r="K8" s="30">
        <f t="shared" si="0"/>
        <v>16</v>
      </c>
      <c r="L8" s="30">
        <f t="shared" si="0"/>
        <v>4</v>
      </c>
      <c r="M8" s="30">
        <f t="shared" si="0"/>
        <v>16</v>
      </c>
      <c r="N8" s="30">
        <f t="shared" si="0"/>
        <v>8</v>
      </c>
      <c r="O8" s="30">
        <f t="shared" si="0"/>
        <v>12</v>
      </c>
      <c r="P8" s="30">
        <f t="shared" si="1"/>
        <v>12</v>
      </c>
      <c r="Q8" s="30">
        <f t="shared" si="1"/>
        <v>8</v>
      </c>
      <c r="R8" s="31">
        <f t="shared" si="1"/>
        <v>12</v>
      </c>
      <c r="S8" s="29">
        <f t="shared" si="1"/>
        <v>8</v>
      </c>
      <c r="T8" s="30">
        <f t="shared" si="1"/>
        <v>8</v>
      </c>
      <c r="U8" s="30">
        <f t="shared" si="1"/>
        <v>12</v>
      </c>
      <c r="V8" s="30">
        <f t="shared" si="1"/>
        <v>4</v>
      </c>
      <c r="W8" s="30">
        <f t="shared" si="1"/>
        <v>4</v>
      </c>
      <c r="X8" s="30">
        <f t="shared" si="1"/>
        <v>8</v>
      </c>
      <c r="Y8" s="30">
        <f t="shared" si="1"/>
        <v>8</v>
      </c>
      <c r="Z8" s="30">
        <f t="shared" si="2"/>
        <v>8</v>
      </c>
      <c r="AA8" s="31">
        <f t="shared" si="2"/>
        <v>8</v>
      </c>
      <c r="AB8" s="29">
        <f t="shared" si="2"/>
        <v>8</v>
      </c>
      <c r="AC8" s="30">
        <f t="shared" si="2"/>
        <v>8</v>
      </c>
      <c r="AD8" s="30">
        <f t="shared" si="2"/>
        <v>8</v>
      </c>
      <c r="AE8" s="30">
        <f t="shared" si="2"/>
        <v>8</v>
      </c>
      <c r="AF8" s="30">
        <f t="shared" si="2"/>
        <v>8</v>
      </c>
      <c r="AG8" s="30">
        <f t="shared" si="2"/>
        <v>8</v>
      </c>
      <c r="AH8" s="30">
        <f t="shared" si="2"/>
        <v>12</v>
      </c>
      <c r="AI8" s="30">
        <f t="shared" si="2"/>
        <v>8</v>
      </c>
      <c r="AJ8" s="30">
        <f t="shared" si="3"/>
        <v>8</v>
      </c>
      <c r="AK8" s="30">
        <f t="shared" si="3"/>
        <v>8</v>
      </c>
      <c r="AL8" s="30">
        <f t="shared" si="3"/>
        <v>12</v>
      </c>
      <c r="AM8" s="30">
        <f t="shared" si="3"/>
        <v>8</v>
      </c>
      <c r="AN8" s="30">
        <f t="shared" si="3"/>
        <v>12</v>
      </c>
      <c r="AO8" s="30">
        <f t="shared" si="3"/>
        <v>12</v>
      </c>
      <c r="AP8" s="30">
        <f t="shared" si="3"/>
        <v>8</v>
      </c>
      <c r="AQ8" s="30">
        <f t="shared" si="3"/>
        <v>12</v>
      </c>
      <c r="AR8" s="30">
        <f t="shared" si="3"/>
        <v>8</v>
      </c>
      <c r="AS8" s="30">
        <f t="shared" si="3"/>
        <v>8</v>
      </c>
      <c r="AT8" s="30">
        <f t="shared" si="4"/>
        <v>8</v>
      </c>
      <c r="AU8" s="30">
        <f t="shared" si="4"/>
        <v>8</v>
      </c>
      <c r="AV8" s="30">
        <f t="shared" si="4"/>
        <v>8</v>
      </c>
      <c r="AW8" s="30">
        <f t="shared" si="4"/>
        <v>8</v>
      </c>
      <c r="AX8" s="30">
        <f t="shared" si="4"/>
        <v>12</v>
      </c>
      <c r="AY8" s="30">
        <f t="shared" si="4"/>
        <v>8</v>
      </c>
      <c r="AZ8" s="30">
        <f t="shared" si="4"/>
        <v>8</v>
      </c>
      <c r="BA8" s="31">
        <f t="shared" si="4"/>
        <v>8</v>
      </c>
    </row>
    <row r="9" spans="1:53" ht="37.35" customHeight="1" x14ac:dyDescent="0.2">
      <c r="A9" s="28" t="s">
        <v>88</v>
      </c>
      <c r="B9" s="25"/>
      <c r="C9" s="25"/>
      <c r="D9" s="25"/>
      <c r="E9" s="27">
        <v>3</v>
      </c>
      <c r="F9" s="29">
        <f t="shared" si="0"/>
        <v>9</v>
      </c>
      <c r="G9" s="30">
        <f t="shared" si="0"/>
        <v>3</v>
      </c>
      <c r="H9" s="30">
        <f t="shared" si="0"/>
        <v>6</v>
      </c>
      <c r="I9" s="30">
        <f t="shared" si="0"/>
        <v>12</v>
      </c>
      <c r="J9" s="30">
        <f t="shared" si="0"/>
        <v>12</v>
      </c>
      <c r="K9" s="30">
        <f t="shared" si="0"/>
        <v>12</v>
      </c>
      <c r="L9" s="30">
        <f t="shared" si="0"/>
        <v>3</v>
      </c>
      <c r="M9" s="30">
        <f t="shared" si="0"/>
        <v>12</v>
      </c>
      <c r="N9" s="30">
        <f t="shared" si="0"/>
        <v>6</v>
      </c>
      <c r="O9" s="30">
        <f t="shared" si="0"/>
        <v>9</v>
      </c>
      <c r="P9" s="30">
        <f t="shared" si="1"/>
        <v>9</v>
      </c>
      <c r="Q9" s="30">
        <f t="shared" si="1"/>
        <v>6</v>
      </c>
      <c r="R9" s="31">
        <f t="shared" si="1"/>
        <v>9</v>
      </c>
      <c r="S9" s="29">
        <f t="shared" si="1"/>
        <v>6</v>
      </c>
      <c r="T9" s="30">
        <f t="shared" si="1"/>
        <v>6</v>
      </c>
      <c r="U9" s="30">
        <f t="shared" si="1"/>
        <v>9</v>
      </c>
      <c r="V9" s="30">
        <f t="shared" si="1"/>
        <v>3</v>
      </c>
      <c r="W9" s="30">
        <f t="shared" si="1"/>
        <v>3</v>
      </c>
      <c r="X9" s="30">
        <f t="shared" si="1"/>
        <v>6</v>
      </c>
      <c r="Y9" s="30">
        <f t="shared" si="1"/>
        <v>6</v>
      </c>
      <c r="Z9" s="30">
        <f t="shared" si="2"/>
        <v>6</v>
      </c>
      <c r="AA9" s="31">
        <f t="shared" si="2"/>
        <v>6</v>
      </c>
      <c r="AB9" s="29">
        <f t="shared" si="2"/>
        <v>6</v>
      </c>
      <c r="AC9" s="30">
        <f t="shared" si="2"/>
        <v>6</v>
      </c>
      <c r="AD9" s="30">
        <f t="shared" si="2"/>
        <v>6</v>
      </c>
      <c r="AE9" s="30">
        <f t="shared" si="2"/>
        <v>6</v>
      </c>
      <c r="AF9" s="30">
        <f t="shared" si="2"/>
        <v>6</v>
      </c>
      <c r="AG9" s="30">
        <f t="shared" si="2"/>
        <v>6</v>
      </c>
      <c r="AH9" s="30">
        <f t="shared" si="2"/>
        <v>9</v>
      </c>
      <c r="AI9" s="30">
        <f t="shared" si="2"/>
        <v>6</v>
      </c>
      <c r="AJ9" s="30">
        <f t="shared" si="3"/>
        <v>6</v>
      </c>
      <c r="AK9" s="30">
        <f t="shared" si="3"/>
        <v>6</v>
      </c>
      <c r="AL9" s="30">
        <f t="shared" si="3"/>
        <v>9</v>
      </c>
      <c r="AM9" s="30">
        <f t="shared" si="3"/>
        <v>6</v>
      </c>
      <c r="AN9" s="30">
        <f t="shared" si="3"/>
        <v>9</v>
      </c>
      <c r="AO9" s="30">
        <f t="shared" si="3"/>
        <v>9</v>
      </c>
      <c r="AP9" s="30">
        <f t="shared" si="3"/>
        <v>6</v>
      </c>
      <c r="AQ9" s="30">
        <f t="shared" si="3"/>
        <v>9</v>
      </c>
      <c r="AR9" s="30">
        <f t="shared" si="3"/>
        <v>6</v>
      </c>
      <c r="AS9" s="30">
        <f t="shared" si="3"/>
        <v>6</v>
      </c>
      <c r="AT9" s="30">
        <f t="shared" si="4"/>
        <v>6</v>
      </c>
      <c r="AU9" s="30">
        <f t="shared" si="4"/>
        <v>6</v>
      </c>
      <c r="AV9" s="30">
        <f t="shared" si="4"/>
        <v>6</v>
      </c>
      <c r="AW9" s="30">
        <f t="shared" si="4"/>
        <v>6</v>
      </c>
      <c r="AX9" s="30">
        <f t="shared" si="4"/>
        <v>9</v>
      </c>
      <c r="AY9" s="30">
        <f t="shared" si="4"/>
        <v>6</v>
      </c>
      <c r="AZ9" s="30">
        <f t="shared" si="4"/>
        <v>6</v>
      </c>
      <c r="BA9" s="31">
        <f t="shared" si="4"/>
        <v>6</v>
      </c>
    </row>
    <row r="10" spans="1:53" ht="37.35" customHeight="1" x14ac:dyDescent="0.2">
      <c r="A10" s="28" t="s">
        <v>89</v>
      </c>
      <c r="B10" s="25"/>
      <c r="C10" s="25"/>
      <c r="D10" s="25"/>
      <c r="E10" s="27">
        <v>2</v>
      </c>
      <c r="F10" s="29">
        <f t="shared" si="0"/>
        <v>6</v>
      </c>
      <c r="G10" s="30">
        <f t="shared" si="0"/>
        <v>2</v>
      </c>
      <c r="H10" s="30">
        <f t="shared" si="0"/>
        <v>4</v>
      </c>
      <c r="I10" s="30">
        <f t="shared" si="0"/>
        <v>8</v>
      </c>
      <c r="J10" s="30">
        <f t="shared" si="0"/>
        <v>8</v>
      </c>
      <c r="K10" s="30">
        <f t="shared" si="0"/>
        <v>8</v>
      </c>
      <c r="L10" s="30">
        <f t="shared" si="0"/>
        <v>2</v>
      </c>
      <c r="M10" s="30">
        <f t="shared" si="0"/>
        <v>8</v>
      </c>
      <c r="N10" s="30">
        <f t="shared" si="0"/>
        <v>4</v>
      </c>
      <c r="O10" s="30">
        <f t="shared" si="0"/>
        <v>6</v>
      </c>
      <c r="P10" s="30">
        <f t="shared" si="1"/>
        <v>6</v>
      </c>
      <c r="Q10" s="30">
        <f t="shared" si="1"/>
        <v>4</v>
      </c>
      <c r="R10" s="31">
        <f t="shared" si="1"/>
        <v>6</v>
      </c>
      <c r="S10" s="29">
        <f t="shared" si="1"/>
        <v>4</v>
      </c>
      <c r="T10" s="30">
        <f t="shared" si="1"/>
        <v>4</v>
      </c>
      <c r="U10" s="30">
        <f t="shared" si="1"/>
        <v>6</v>
      </c>
      <c r="V10" s="30">
        <f t="shared" si="1"/>
        <v>2</v>
      </c>
      <c r="W10" s="30">
        <f t="shared" si="1"/>
        <v>2</v>
      </c>
      <c r="X10" s="30">
        <f t="shared" si="1"/>
        <v>4</v>
      </c>
      <c r="Y10" s="30">
        <f t="shared" si="1"/>
        <v>4</v>
      </c>
      <c r="Z10" s="30">
        <f t="shared" si="2"/>
        <v>4</v>
      </c>
      <c r="AA10" s="31">
        <f t="shared" si="2"/>
        <v>4</v>
      </c>
      <c r="AB10" s="29">
        <f t="shared" si="2"/>
        <v>4</v>
      </c>
      <c r="AC10" s="30">
        <f t="shared" si="2"/>
        <v>4</v>
      </c>
      <c r="AD10" s="30">
        <f t="shared" si="2"/>
        <v>4</v>
      </c>
      <c r="AE10" s="30">
        <f t="shared" si="2"/>
        <v>4</v>
      </c>
      <c r="AF10" s="30">
        <f t="shared" si="2"/>
        <v>4</v>
      </c>
      <c r="AG10" s="30">
        <f t="shared" si="2"/>
        <v>4</v>
      </c>
      <c r="AH10" s="30">
        <f t="shared" si="2"/>
        <v>6</v>
      </c>
      <c r="AI10" s="30">
        <f t="shared" si="2"/>
        <v>4</v>
      </c>
      <c r="AJ10" s="30">
        <f t="shared" si="3"/>
        <v>4</v>
      </c>
      <c r="AK10" s="30">
        <f t="shared" si="3"/>
        <v>4</v>
      </c>
      <c r="AL10" s="30">
        <f t="shared" si="3"/>
        <v>6</v>
      </c>
      <c r="AM10" s="30">
        <f t="shared" si="3"/>
        <v>4</v>
      </c>
      <c r="AN10" s="30">
        <f t="shared" si="3"/>
        <v>6</v>
      </c>
      <c r="AO10" s="30">
        <f t="shared" si="3"/>
        <v>6</v>
      </c>
      <c r="AP10" s="30">
        <f t="shared" si="3"/>
        <v>4</v>
      </c>
      <c r="AQ10" s="30">
        <f t="shared" si="3"/>
        <v>6</v>
      </c>
      <c r="AR10" s="30">
        <f t="shared" si="3"/>
        <v>4</v>
      </c>
      <c r="AS10" s="30">
        <f t="shared" si="3"/>
        <v>4</v>
      </c>
      <c r="AT10" s="30">
        <f t="shared" si="4"/>
        <v>4</v>
      </c>
      <c r="AU10" s="30">
        <f t="shared" si="4"/>
        <v>4</v>
      </c>
      <c r="AV10" s="30">
        <f t="shared" si="4"/>
        <v>4</v>
      </c>
      <c r="AW10" s="30">
        <f t="shared" si="4"/>
        <v>4</v>
      </c>
      <c r="AX10" s="30">
        <f t="shared" si="4"/>
        <v>6</v>
      </c>
      <c r="AY10" s="30">
        <f t="shared" si="4"/>
        <v>4</v>
      </c>
      <c r="AZ10" s="30">
        <f t="shared" si="4"/>
        <v>4</v>
      </c>
      <c r="BA10" s="31">
        <f t="shared" si="4"/>
        <v>4</v>
      </c>
    </row>
    <row r="11" spans="1:53" ht="37.35" customHeight="1" x14ac:dyDescent="0.2">
      <c r="A11" s="28" t="s">
        <v>90</v>
      </c>
      <c r="B11" s="25"/>
      <c r="C11" s="25"/>
      <c r="D11" s="25"/>
      <c r="E11" s="27">
        <v>2</v>
      </c>
      <c r="F11" s="29">
        <f t="shared" si="0"/>
        <v>6</v>
      </c>
      <c r="G11" s="30">
        <f t="shared" si="0"/>
        <v>2</v>
      </c>
      <c r="H11" s="30">
        <f t="shared" si="0"/>
        <v>4</v>
      </c>
      <c r="I11" s="30">
        <f t="shared" si="0"/>
        <v>8</v>
      </c>
      <c r="J11" s="30">
        <f t="shared" si="0"/>
        <v>8</v>
      </c>
      <c r="K11" s="30">
        <f t="shared" si="0"/>
        <v>8</v>
      </c>
      <c r="L11" s="30">
        <f t="shared" si="0"/>
        <v>2</v>
      </c>
      <c r="M11" s="30">
        <f t="shared" si="0"/>
        <v>8</v>
      </c>
      <c r="N11" s="30">
        <f t="shared" si="0"/>
        <v>4</v>
      </c>
      <c r="O11" s="30">
        <f t="shared" si="0"/>
        <v>6</v>
      </c>
      <c r="P11" s="30">
        <f t="shared" si="1"/>
        <v>6</v>
      </c>
      <c r="Q11" s="30">
        <f t="shared" si="1"/>
        <v>4</v>
      </c>
      <c r="R11" s="31">
        <f t="shared" si="1"/>
        <v>6</v>
      </c>
      <c r="S11" s="29">
        <f t="shared" si="1"/>
        <v>4</v>
      </c>
      <c r="T11" s="30">
        <f t="shared" si="1"/>
        <v>4</v>
      </c>
      <c r="U11" s="30">
        <f t="shared" si="1"/>
        <v>6</v>
      </c>
      <c r="V11" s="30">
        <f t="shared" si="1"/>
        <v>2</v>
      </c>
      <c r="W11" s="30">
        <f t="shared" si="1"/>
        <v>2</v>
      </c>
      <c r="X11" s="30">
        <f t="shared" si="1"/>
        <v>4</v>
      </c>
      <c r="Y11" s="30">
        <f t="shared" si="1"/>
        <v>4</v>
      </c>
      <c r="Z11" s="30">
        <f t="shared" si="2"/>
        <v>4</v>
      </c>
      <c r="AA11" s="31">
        <f t="shared" si="2"/>
        <v>4</v>
      </c>
      <c r="AB11" s="29">
        <f t="shared" si="2"/>
        <v>4</v>
      </c>
      <c r="AC11" s="30">
        <f t="shared" si="2"/>
        <v>4</v>
      </c>
      <c r="AD11" s="30">
        <f t="shared" si="2"/>
        <v>4</v>
      </c>
      <c r="AE11" s="30">
        <f t="shared" si="2"/>
        <v>4</v>
      </c>
      <c r="AF11" s="30">
        <f t="shared" si="2"/>
        <v>4</v>
      </c>
      <c r="AG11" s="30">
        <f t="shared" si="2"/>
        <v>4</v>
      </c>
      <c r="AH11" s="30">
        <f t="shared" si="2"/>
        <v>6</v>
      </c>
      <c r="AI11" s="30">
        <f t="shared" si="2"/>
        <v>4</v>
      </c>
      <c r="AJ11" s="30">
        <f t="shared" si="3"/>
        <v>4</v>
      </c>
      <c r="AK11" s="30">
        <f t="shared" si="3"/>
        <v>4</v>
      </c>
      <c r="AL11" s="30">
        <f t="shared" si="3"/>
        <v>6</v>
      </c>
      <c r="AM11" s="30">
        <f t="shared" si="3"/>
        <v>4</v>
      </c>
      <c r="AN11" s="30">
        <f t="shared" si="3"/>
        <v>6</v>
      </c>
      <c r="AO11" s="30">
        <f t="shared" si="3"/>
        <v>6</v>
      </c>
      <c r="AP11" s="30">
        <f t="shared" si="3"/>
        <v>4</v>
      </c>
      <c r="AQ11" s="30">
        <f t="shared" si="3"/>
        <v>6</v>
      </c>
      <c r="AR11" s="30">
        <f t="shared" si="3"/>
        <v>4</v>
      </c>
      <c r="AS11" s="30">
        <f t="shared" si="3"/>
        <v>4</v>
      </c>
      <c r="AT11" s="30">
        <f t="shared" si="4"/>
        <v>4</v>
      </c>
      <c r="AU11" s="30">
        <f t="shared" si="4"/>
        <v>4</v>
      </c>
      <c r="AV11" s="30">
        <f t="shared" si="4"/>
        <v>4</v>
      </c>
      <c r="AW11" s="30">
        <f t="shared" si="4"/>
        <v>4</v>
      </c>
      <c r="AX11" s="30">
        <f t="shared" si="4"/>
        <v>6</v>
      </c>
      <c r="AY11" s="30">
        <f t="shared" si="4"/>
        <v>4</v>
      </c>
      <c r="AZ11" s="30">
        <f t="shared" si="4"/>
        <v>4</v>
      </c>
      <c r="BA11" s="31">
        <f t="shared" si="4"/>
        <v>4</v>
      </c>
    </row>
    <row r="12" spans="1:53" ht="37.35" customHeight="1" x14ac:dyDescent="0.2">
      <c r="A12" s="28" t="s">
        <v>91</v>
      </c>
      <c r="B12" s="25"/>
      <c r="C12" s="25"/>
      <c r="D12" s="25"/>
      <c r="E12" s="27">
        <v>2</v>
      </c>
      <c r="F12" s="29">
        <f t="shared" si="0"/>
        <v>6</v>
      </c>
      <c r="G12" s="30">
        <f t="shared" si="0"/>
        <v>2</v>
      </c>
      <c r="H12" s="30">
        <f t="shared" si="0"/>
        <v>4</v>
      </c>
      <c r="I12" s="30">
        <f t="shared" si="0"/>
        <v>8</v>
      </c>
      <c r="J12" s="30">
        <f t="shared" si="0"/>
        <v>8</v>
      </c>
      <c r="K12" s="30">
        <f t="shared" si="0"/>
        <v>8</v>
      </c>
      <c r="L12" s="30">
        <f t="shared" si="0"/>
        <v>2</v>
      </c>
      <c r="M12" s="30">
        <f t="shared" si="0"/>
        <v>8</v>
      </c>
      <c r="N12" s="30">
        <f t="shared" si="0"/>
        <v>4</v>
      </c>
      <c r="O12" s="30">
        <f t="shared" si="0"/>
        <v>6</v>
      </c>
      <c r="P12" s="30">
        <f t="shared" si="1"/>
        <v>6</v>
      </c>
      <c r="Q12" s="30">
        <f t="shared" si="1"/>
        <v>4</v>
      </c>
      <c r="R12" s="31">
        <f t="shared" si="1"/>
        <v>6</v>
      </c>
      <c r="S12" s="29">
        <f t="shared" si="1"/>
        <v>4</v>
      </c>
      <c r="T12" s="30">
        <f t="shared" si="1"/>
        <v>4</v>
      </c>
      <c r="U12" s="30">
        <f t="shared" si="1"/>
        <v>6</v>
      </c>
      <c r="V12" s="30">
        <f t="shared" si="1"/>
        <v>2</v>
      </c>
      <c r="W12" s="30">
        <f t="shared" si="1"/>
        <v>2</v>
      </c>
      <c r="X12" s="30">
        <f t="shared" si="1"/>
        <v>4</v>
      </c>
      <c r="Y12" s="30">
        <f t="shared" si="1"/>
        <v>4</v>
      </c>
      <c r="Z12" s="30">
        <f t="shared" si="2"/>
        <v>4</v>
      </c>
      <c r="AA12" s="31">
        <f t="shared" si="2"/>
        <v>4</v>
      </c>
      <c r="AB12" s="29">
        <f t="shared" si="2"/>
        <v>4</v>
      </c>
      <c r="AC12" s="30">
        <f t="shared" si="2"/>
        <v>4</v>
      </c>
      <c r="AD12" s="30">
        <f t="shared" si="2"/>
        <v>4</v>
      </c>
      <c r="AE12" s="30">
        <f t="shared" si="2"/>
        <v>4</v>
      </c>
      <c r="AF12" s="30">
        <f t="shared" si="2"/>
        <v>4</v>
      </c>
      <c r="AG12" s="30">
        <f t="shared" si="2"/>
        <v>4</v>
      </c>
      <c r="AH12" s="30">
        <f t="shared" si="2"/>
        <v>6</v>
      </c>
      <c r="AI12" s="30">
        <f t="shared" si="2"/>
        <v>4</v>
      </c>
      <c r="AJ12" s="30">
        <f t="shared" si="3"/>
        <v>4</v>
      </c>
      <c r="AK12" s="30">
        <f t="shared" si="3"/>
        <v>4</v>
      </c>
      <c r="AL12" s="30">
        <f t="shared" si="3"/>
        <v>6</v>
      </c>
      <c r="AM12" s="30">
        <f t="shared" si="3"/>
        <v>4</v>
      </c>
      <c r="AN12" s="30">
        <f t="shared" si="3"/>
        <v>6</v>
      </c>
      <c r="AO12" s="30">
        <f t="shared" si="3"/>
        <v>6</v>
      </c>
      <c r="AP12" s="30">
        <f t="shared" si="3"/>
        <v>4</v>
      </c>
      <c r="AQ12" s="30">
        <f t="shared" si="3"/>
        <v>6</v>
      </c>
      <c r="AR12" s="30">
        <f t="shared" si="3"/>
        <v>4</v>
      </c>
      <c r="AS12" s="30">
        <f t="shared" si="3"/>
        <v>4</v>
      </c>
      <c r="AT12" s="30">
        <f t="shared" si="4"/>
        <v>4</v>
      </c>
      <c r="AU12" s="30">
        <f t="shared" si="4"/>
        <v>4</v>
      </c>
      <c r="AV12" s="30">
        <f t="shared" si="4"/>
        <v>4</v>
      </c>
      <c r="AW12" s="30">
        <f t="shared" si="4"/>
        <v>4</v>
      </c>
      <c r="AX12" s="30">
        <f t="shared" si="4"/>
        <v>6</v>
      </c>
      <c r="AY12" s="30">
        <f t="shared" si="4"/>
        <v>4</v>
      </c>
      <c r="AZ12" s="30">
        <f t="shared" si="4"/>
        <v>4</v>
      </c>
      <c r="BA12" s="31">
        <f t="shared" si="4"/>
        <v>4</v>
      </c>
    </row>
    <row r="13" spans="1:53" ht="37.35" customHeight="1" x14ac:dyDescent="0.2">
      <c r="A13" s="28" t="s">
        <v>92</v>
      </c>
      <c r="B13" s="25"/>
      <c r="C13" s="25"/>
      <c r="D13" s="25"/>
      <c r="E13" s="27">
        <v>2</v>
      </c>
      <c r="F13" s="29">
        <f t="shared" si="0"/>
        <v>6</v>
      </c>
      <c r="G13" s="30">
        <f t="shared" si="0"/>
        <v>2</v>
      </c>
      <c r="H13" s="30">
        <f t="shared" si="0"/>
        <v>4</v>
      </c>
      <c r="I13" s="30">
        <f t="shared" si="0"/>
        <v>8</v>
      </c>
      <c r="J13" s="30">
        <f t="shared" si="0"/>
        <v>8</v>
      </c>
      <c r="K13" s="30">
        <f t="shared" si="0"/>
        <v>8</v>
      </c>
      <c r="L13" s="30">
        <f t="shared" si="0"/>
        <v>2</v>
      </c>
      <c r="M13" s="30">
        <f t="shared" si="0"/>
        <v>8</v>
      </c>
      <c r="N13" s="30">
        <f t="shared" si="0"/>
        <v>4</v>
      </c>
      <c r="O13" s="30">
        <f t="shared" si="0"/>
        <v>6</v>
      </c>
      <c r="P13" s="30">
        <f t="shared" si="1"/>
        <v>6</v>
      </c>
      <c r="Q13" s="30">
        <f t="shared" si="1"/>
        <v>4</v>
      </c>
      <c r="R13" s="31">
        <f t="shared" si="1"/>
        <v>6</v>
      </c>
      <c r="S13" s="29">
        <f t="shared" si="1"/>
        <v>4</v>
      </c>
      <c r="T13" s="30">
        <f t="shared" si="1"/>
        <v>4</v>
      </c>
      <c r="U13" s="30">
        <f t="shared" si="1"/>
        <v>6</v>
      </c>
      <c r="V13" s="30">
        <f t="shared" si="1"/>
        <v>2</v>
      </c>
      <c r="W13" s="30">
        <f t="shared" si="1"/>
        <v>2</v>
      </c>
      <c r="X13" s="30">
        <f t="shared" si="1"/>
        <v>4</v>
      </c>
      <c r="Y13" s="30">
        <f t="shared" si="1"/>
        <v>4</v>
      </c>
      <c r="Z13" s="30">
        <f t="shared" si="2"/>
        <v>4</v>
      </c>
      <c r="AA13" s="31">
        <f t="shared" si="2"/>
        <v>4</v>
      </c>
      <c r="AB13" s="29">
        <f t="shared" si="2"/>
        <v>4</v>
      </c>
      <c r="AC13" s="30">
        <f t="shared" si="2"/>
        <v>4</v>
      </c>
      <c r="AD13" s="30">
        <f t="shared" si="2"/>
        <v>4</v>
      </c>
      <c r="AE13" s="30">
        <f t="shared" si="2"/>
        <v>4</v>
      </c>
      <c r="AF13" s="30">
        <f t="shared" si="2"/>
        <v>4</v>
      </c>
      <c r="AG13" s="30">
        <f t="shared" si="2"/>
        <v>4</v>
      </c>
      <c r="AH13" s="30">
        <f t="shared" si="2"/>
        <v>6</v>
      </c>
      <c r="AI13" s="30">
        <f t="shared" si="2"/>
        <v>4</v>
      </c>
      <c r="AJ13" s="30">
        <f t="shared" si="3"/>
        <v>4</v>
      </c>
      <c r="AK13" s="30">
        <f t="shared" si="3"/>
        <v>4</v>
      </c>
      <c r="AL13" s="30">
        <f t="shared" si="3"/>
        <v>6</v>
      </c>
      <c r="AM13" s="30">
        <f t="shared" si="3"/>
        <v>4</v>
      </c>
      <c r="AN13" s="30">
        <f t="shared" si="3"/>
        <v>6</v>
      </c>
      <c r="AO13" s="30">
        <f t="shared" si="3"/>
        <v>6</v>
      </c>
      <c r="AP13" s="30">
        <f t="shared" si="3"/>
        <v>4</v>
      </c>
      <c r="AQ13" s="30">
        <f t="shared" si="3"/>
        <v>6</v>
      </c>
      <c r="AR13" s="30">
        <f t="shared" si="3"/>
        <v>4</v>
      </c>
      <c r="AS13" s="30">
        <f t="shared" si="3"/>
        <v>4</v>
      </c>
      <c r="AT13" s="30">
        <f t="shared" si="4"/>
        <v>4</v>
      </c>
      <c r="AU13" s="30">
        <f t="shared" si="4"/>
        <v>4</v>
      </c>
      <c r="AV13" s="30">
        <f t="shared" si="4"/>
        <v>4</v>
      </c>
      <c r="AW13" s="30">
        <f t="shared" si="4"/>
        <v>4</v>
      </c>
      <c r="AX13" s="30">
        <f t="shared" si="4"/>
        <v>6</v>
      </c>
      <c r="AY13" s="30">
        <f t="shared" si="4"/>
        <v>4</v>
      </c>
      <c r="AZ13" s="30">
        <f t="shared" si="4"/>
        <v>4</v>
      </c>
      <c r="BA13" s="31">
        <f t="shared" si="4"/>
        <v>4</v>
      </c>
    </row>
    <row r="14" spans="1:53" ht="37.35" customHeight="1" x14ac:dyDescent="0.2">
      <c r="A14" s="28" t="s">
        <v>93</v>
      </c>
      <c r="B14" s="25"/>
      <c r="C14" s="25"/>
      <c r="D14" s="25"/>
      <c r="E14" s="27">
        <v>2</v>
      </c>
      <c r="F14" s="29">
        <f t="shared" si="0"/>
        <v>6</v>
      </c>
      <c r="G14" s="30">
        <f t="shared" si="0"/>
        <v>2</v>
      </c>
      <c r="H14" s="30">
        <f t="shared" si="0"/>
        <v>4</v>
      </c>
      <c r="I14" s="30">
        <f t="shared" si="0"/>
        <v>8</v>
      </c>
      <c r="J14" s="30">
        <f t="shared" si="0"/>
        <v>8</v>
      </c>
      <c r="K14" s="30">
        <f t="shared" si="0"/>
        <v>8</v>
      </c>
      <c r="L14" s="30">
        <f t="shared" si="0"/>
        <v>2</v>
      </c>
      <c r="M14" s="30">
        <f t="shared" si="0"/>
        <v>8</v>
      </c>
      <c r="N14" s="30">
        <f t="shared" si="0"/>
        <v>4</v>
      </c>
      <c r="O14" s="30">
        <f t="shared" si="0"/>
        <v>6</v>
      </c>
      <c r="P14" s="30">
        <f t="shared" si="1"/>
        <v>6</v>
      </c>
      <c r="Q14" s="30">
        <f t="shared" si="1"/>
        <v>4</v>
      </c>
      <c r="R14" s="31">
        <f t="shared" si="1"/>
        <v>6</v>
      </c>
      <c r="S14" s="29">
        <f t="shared" si="1"/>
        <v>4</v>
      </c>
      <c r="T14" s="30">
        <f t="shared" si="1"/>
        <v>4</v>
      </c>
      <c r="U14" s="30">
        <f t="shared" si="1"/>
        <v>6</v>
      </c>
      <c r="V14" s="30">
        <f t="shared" si="1"/>
        <v>2</v>
      </c>
      <c r="W14" s="30">
        <f t="shared" si="1"/>
        <v>2</v>
      </c>
      <c r="X14" s="30">
        <f t="shared" si="1"/>
        <v>4</v>
      </c>
      <c r="Y14" s="30">
        <f t="shared" si="1"/>
        <v>4</v>
      </c>
      <c r="Z14" s="30">
        <f t="shared" si="2"/>
        <v>4</v>
      </c>
      <c r="AA14" s="31">
        <f t="shared" si="2"/>
        <v>4</v>
      </c>
      <c r="AB14" s="29">
        <f t="shared" si="2"/>
        <v>4</v>
      </c>
      <c r="AC14" s="30">
        <f t="shared" si="2"/>
        <v>4</v>
      </c>
      <c r="AD14" s="30">
        <f t="shared" si="2"/>
        <v>4</v>
      </c>
      <c r="AE14" s="30">
        <f t="shared" si="2"/>
        <v>4</v>
      </c>
      <c r="AF14" s="30">
        <f t="shared" si="2"/>
        <v>4</v>
      </c>
      <c r="AG14" s="30">
        <f t="shared" si="2"/>
        <v>4</v>
      </c>
      <c r="AH14" s="30">
        <f t="shared" si="2"/>
        <v>6</v>
      </c>
      <c r="AI14" s="30">
        <f t="shared" si="2"/>
        <v>4</v>
      </c>
      <c r="AJ14" s="30">
        <f t="shared" si="3"/>
        <v>4</v>
      </c>
      <c r="AK14" s="30">
        <f t="shared" si="3"/>
        <v>4</v>
      </c>
      <c r="AL14" s="30">
        <f t="shared" si="3"/>
        <v>6</v>
      </c>
      <c r="AM14" s="30">
        <f t="shared" si="3"/>
        <v>4</v>
      </c>
      <c r="AN14" s="30">
        <f t="shared" si="3"/>
        <v>6</v>
      </c>
      <c r="AO14" s="30">
        <f t="shared" si="3"/>
        <v>6</v>
      </c>
      <c r="AP14" s="30">
        <f t="shared" si="3"/>
        <v>4</v>
      </c>
      <c r="AQ14" s="30">
        <f t="shared" si="3"/>
        <v>6</v>
      </c>
      <c r="AR14" s="30">
        <f t="shared" si="3"/>
        <v>4</v>
      </c>
      <c r="AS14" s="30">
        <f t="shared" si="3"/>
        <v>4</v>
      </c>
      <c r="AT14" s="30">
        <f t="shared" si="4"/>
        <v>4</v>
      </c>
      <c r="AU14" s="30">
        <f t="shared" si="4"/>
        <v>4</v>
      </c>
      <c r="AV14" s="30">
        <f t="shared" si="4"/>
        <v>4</v>
      </c>
      <c r="AW14" s="30">
        <f t="shared" si="4"/>
        <v>4</v>
      </c>
      <c r="AX14" s="30">
        <f t="shared" si="4"/>
        <v>6</v>
      </c>
      <c r="AY14" s="30">
        <f t="shared" si="4"/>
        <v>4</v>
      </c>
      <c r="AZ14" s="30">
        <f t="shared" si="4"/>
        <v>4</v>
      </c>
      <c r="BA14" s="31">
        <f t="shared" si="4"/>
        <v>4</v>
      </c>
    </row>
    <row r="15" spans="1:53" ht="37.35" customHeight="1" x14ac:dyDescent="0.2">
      <c r="A15" s="28" t="s">
        <v>94</v>
      </c>
      <c r="B15" s="25"/>
      <c r="C15" s="25"/>
      <c r="D15" s="25"/>
      <c r="E15" s="27">
        <v>2</v>
      </c>
      <c r="F15" s="29">
        <f t="shared" ref="F15:O20" si="5">IF(OR($E15="",F$4=""),"",F$4*$E15)</f>
        <v>6</v>
      </c>
      <c r="G15" s="30">
        <f t="shared" si="5"/>
        <v>2</v>
      </c>
      <c r="H15" s="30">
        <f t="shared" si="5"/>
        <v>4</v>
      </c>
      <c r="I15" s="30">
        <f t="shared" si="5"/>
        <v>8</v>
      </c>
      <c r="J15" s="30">
        <f t="shared" si="5"/>
        <v>8</v>
      </c>
      <c r="K15" s="30">
        <f t="shared" si="5"/>
        <v>8</v>
      </c>
      <c r="L15" s="30">
        <f t="shared" si="5"/>
        <v>2</v>
      </c>
      <c r="M15" s="30">
        <f t="shared" si="5"/>
        <v>8</v>
      </c>
      <c r="N15" s="30">
        <f t="shared" si="5"/>
        <v>4</v>
      </c>
      <c r="O15" s="30">
        <f t="shared" si="5"/>
        <v>6</v>
      </c>
      <c r="P15" s="30">
        <f t="shared" ref="P15:Y20" si="6">IF(OR($E15="",P$4=""),"",P$4*$E15)</f>
        <v>6</v>
      </c>
      <c r="Q15" s="30">
        <f t="shared" si="6"/>
        <v>4</v>
      </c>
      <c r="R15" s="31">
        <f t="shared" si="6"/>
        <v>6</v>
      </c>
      <c r="S15" s="29">
        <f t="shared" si="6"/>
        <v>4</v>
      </c>
      <c r="T15" s="30">
        <f t="shared" si="6"/>
        <v>4</v>
      </c>
      <c r="U15" s="30">
        <f t="shared" si="6"/>
        <v>6</v>
      </c>
      <c r="V15" s="30">
        <f t="shared" si="6"/>
        <v>2</v>
      </c>
      <c r="W15" s="30">
        <f t="shared" si="6"/>
        <v>2</v>
      </c>
      <c r="X15" s="30">
        <f t="shared" si="6"/>
        <v>4</v>
      </c>
      <c r="Y15" s="30">
        <f t="shared" si="6"/>
        <v>4</v>
      </c>
      <c r="Z15" s="30">
        <f t="shared" ref="Z15:AI20" si="7">IF(OR($E15="",Z$4=""),"",Z$4*$E15)</f>
        <v>4</v>
      </c>
      <c r="AA15" s="31">
        <f t="shared" si="7"/>
        <v>4</v>
      </c>
      <c r="AB15" s="29">
        <f t="shared" si="7"/>
        <v>4</v>
      </c>
      <c r="AC15" s="30">
        <f t="shared" si="7"/>
        <v>4</v>
      </c>
      <c r="AD15" s="30">
        <f t="shared" si="7"/>
        <v>4</v>
      </c>
      <c r="AE15" s="30">
        <f t="shared" si="7"/>
        <v>4</v>
      </c>
      <c r="AF15" s="30">
        <f t="shared" si="7"/>
        <v>4</v>
      </c>
      <c r="AG15" s="30">
        <f t="shared" si="7"/>
        <v>4</v>
      </c>
      <c r="AH15" s="30">
        <f t="shared" si="7"/>
        <v>6</v>
      </c>
      <c r="AI15" s="30">
        <f t="shared" si="7"/>
        <v>4</v>
      </c>
      <c r="AJ15" s="30">
        <f t="shared" ref="AJ15:AS20" si="8">IF(OR($E15="",AJ$4=""),"",AJ$4*$E15)</f>
        <v>4</v>
      </c>
      <c r="AK15" s="30">
        <f t="shared" si="8"/>
        <v>4</v>
      </c>
      <c r="AL15" s="30">
        <f t="shared" si="8"/>
        <v>6</v>
      </c>
      <c r="AM15" s="30">
        <f t="shared" si="8"/>
        <v>4</v>
      </c>
      <c r="AN15" s="30">
        <f t="shared" si="8"/>
        <v>6</v>
      </c>
      <c r="AO15" s="30">
        <f t="shared" si="8"/>
        <v>6</v>
      </c>
      <c r="AP15" s="30">
        <f t="shared" si="8"/>
        <v>4</v>
      </c>
      <c r="AQ15" s="30">
        <f t="shared" si="8"/>
        <v>6</v>
      </c>
      <c r="AR15" s="30">
        <f t="shared" si="8"/>
        <v>4</v>
      </c>
      <c r="AS15" s="30">
        <f t="shared" si="8"/>
        <v>4</v>
      </c>
      <c r="AT15" s="30">
        <f t="shared" ref="AT15:BA20" si="9">IF(OR($E15="",AT$4=""),"",AT$4*$E15)</f>
        <v>4</v>
      </c>
      <c r="AU15" s="30">
        <f t="shared" si="9"/>
        <v>4</v>
      </c>
      <c r="AV15" s="30">
        <f t="shared" si="9"/>
        <v>4</v>
      </c>
      <c r="AW15" s="30">
        <f t="shared" si="9"/>
        <v>4</v>
      </c>
      <c r="AX15" s="30">
        <f t="shared" si="9"/>
        <v>6</v>
      </c>
      <c r="AY15" s="30">
        <f t="shared" si="9"/>
        <v>4</v>
      </c>
      <c r="AZ15" s="30">
        <f t="shared" si="9"/>
        <v>4</v>
      </c>
      <c r="BA15" s="31">
        <f t="shared" si="9"/>
        <v>4</v>
      </c>
    </row>
    <row r="16" spans="1:53" ht="37.35" customHeight="1" x14ac:dyDescent="0.2">
      <c r="A16" s="28" t="s">
        <v>95</v>
      </c>
      <c r="B16" s="25"/>
      <c r="C16" s="25"/>
      <c r="D16" s="25"/>
      <c r="E16" s="27">
        <v>2</v>
      </c>
      <c r="F16" s="29">
        <f t="shared" si="5"/>
        <v>6</v>
      </c>
      <c r="G16" s="30">
        <f t="shared" si="5"/>
        <v>2</v>
      </c>
      <c r="H16" s="30">
        <f t="shared" si="5"/>
        <v>4</v>
      </c>
      <c r="I16" s="30">
        <f t="shared" si="5"/>
        <v>8</v>
      </c>
      <c r="J16" s="30">
        <f t="shared" si="5"/>
        <v>8</v>
      </c>
      <c r="K16" s="30">
        <f t="shared" si="5"/>
        <v>8</v>
      </c>
      <c r="L16" s="30">
        <f t="shared" si="5"/>
        <v>2</v>
      </c>
      <c r="M16" s="30">
        <f t="shared" si="5"/>
        <v>8</v>
      </c>
      <c r="N16" s="30">
        <f t="shared" si="5"/>
        <v>4</v>
      </c>
      <c r="O16" s="30">
        <f t="shared" si="5"/>
        <v>6</v>
      </c>
      <c r="P16" s="30">
        <f t="shared" si="6"/>
        <v>6</v>
      </c>
      <c r="Q16" s="30">
        <f t="shared" si="6"/>
        <v>4</v>
      </c>
      <c r="R16" s="31">
        <f t="shared" si="6"/>
        <v>6</v>
      </c>
      <c r="S16" s="29">
        <f t="shared" si="6"/>
        <v>4</v>
      </c>
      <c r="T16" s="30">
        <f t="shared" si="6"/>
        <v>4</v>
      </c>
      <c r="U16" s="30">
        <f t="shared" si="6"/>
        <v>6</v>
      </c>
      <c r="V16" s="30">
        <f t="shared" si="6"/>
        <v>2</v>
      </c>
      <c r="W16" s="30">
        <f t="shared" si="6"/>
        <v>2</v>
      </c>
      <c r="X16" s="30">
        <f t="shared" si="6"/>
        <v>4</v>
      </c>
      <c r="Y16" s="30">
        <f t="shared" si="6"/>
        <v>4</v>
      </c>
      <c r="Z16" s="30">
        <f t="shared" si="7"/>
        <v>4</v>
      </c>
      <c r="AA16" s="31">
        <f t="shared" si="7"/>
        <v>4</v>
      </c>
      <c r="AB16" s="29">
        <f t="shared" si="7"/>
        <v>4</v>
      </c>
      <c r="AC16" s="30">
        <f t="shared" si="7"/>
        <v>4</v>
      </c>
      <c r="AD16" s="30">
        <f t="shared" si="7"/>
        <v>4</v>
      </c>
      <c r="AE16" s="30">
        <f t="shared" si="7"/>
        <v>4</v>
      </c>
      <c r="AF16" s="30">
        <f t="shared" si="7"/>
        <v>4</v>
      </c>
      <c r="AG16" s="30">
        <f t="shared" si="7"/>
        <v>4</v>
      </c>
      <c r="AH16" s="30">
        <f t="shared" si="7"/>
        <v>6</v>
      </c>
      <c r="AI16" s="30">
        <f t="shared" si="7"/>
        <v>4</v>
      </c>
      <c r="AJ16" s="30">
        <f t="shared" si="8"/>
        <v>4</v>
      </c>
      <c r="AK16" s="30">
        <f t="shared" si="8"/>
        <v>4</v>
      </c>
      <c r="AL16" s="30">
        <f t="shared" si="8"/>
        <v>6</v>
      </c>
      <c r="AM16" s="30">
        <f t="shared" si="8"/>
        <v>4</v>
      </c>
      <c r="AN16" s="30">
        <f t="shared" si="8"/>
        <v>6</v>
      </c>
      <c r="AO16" s="30">
        <f t="shared" si="8"/>
        <v>6</v>
      </c>
      <c r="AP16" s="30">
        <f t="shared" si="8"/>
        <v>4</v>
      </c>
      <c r="AQ16" s="30">
        <f t="shared" si="8"/>
        <v>6</v>
      </c>
      <c r="AR16" s="30">
        <f t="shared" si="8"/>
        <v>4</v>
      </c>
      <c r="AS16" s="30">
        <f t="shared" si="8"/>
        <v>4</v>
      </c>
      <c r="AT16" s="30">
        <f t="shared" si="9"/>
        <v>4</v>
      </c>
      <c r="AU16" s="30">
        <f t="shared" si="9"/>
        <v>4</v>
      </c>
      <c r="AV16" s="30">
        <f t="shared" si="9"/>
        <v>4</v>
      </c>
      <c r="AW16" s="30">
        <f t="shared" si="9"/>
        <v>4</v>
      </c>
      <c r="AX16" s="30">
        <f t="shared" si="9"/>
        <v>6</v>
      </c>
      <c r="AY16" s="30">
        <f t="shared" si="9"/>
        <v>4</v>
      </c>
      <c r="AZ16" s="30">
        <f t="shared" si="9"/>
        <v>4</v>
      </c>
      <c r="BA16" s="31">
        <f t="shared" si="9"/>
        <v>4</v>
      </c>
    </row>
    <row r="17" spans="1:53" ht="37.35" customHeight="1" x14ac:dyDescent="0.2">
      <c r="A17" s="28" t="s">
        <v>96</v>
      </c>
      <c r="B17" s="25"/>
      <c r="C17" s="25"/>
      <c r="D17" s="25"/>
      <c r="E17" s="27">
        <v>2</v>
      </c>
      <c r="F17" s="29">
        <f t="shared" si="5"/>
        <v>6</v>
      </c>
      <c r="G17" s="30">
        <f t="shared" si="5"/>
        <v>2</v>
      </c>
      <c r="H17" s="30">
        <f t="shared" si="5"/>
        <v>4</v>
      </c>
      <c r="I17" s="30">
        <f t="shared" si="5"/>
        <v>8</v>
      </c>
      <c r="J17" s="30">
        <f t="shared" si="5"/>
        <v>8</v>
      </c>
      <c r="K17" s="30">
        <f t="shared" si="5"/>
        <v>8</v>
      </c>
      <c r="L17" s="30">
        <f t="shared" si="5"/>
        <v>2</v>
      </c>
      <c r="M17" s="30">
        <f t="shared" si="5"/>
        <v>8</v>
      </c>
      <c r="N17" s="30">
        <f t="shared" si="5"/>
        <v>4</v>
      </c>
      <c r="O17" s="30">
        <f t="shared" si="5"/>
        <v>6</v>
      </c>
      <c r="P17" s="30">
        <f t="shared" si="6"/>
        <v>6</v>
      </c>
      <c r="Q17" s="30">
        <f t="shared" si="6"/>
        <v>4</v>
      </c>
      <c r="R17" s="31">
        <f t="shared" si="6"/>
        <v>6</v>
      </c>
      <c r="S17" s="29">
        <f t="shared" si="6"/>
        <v>4</v>
      </c>
      <c r="T17" s="30">
        <f t="shared" si="6"/>
        <v>4</v>
      </c>
      <c r="U17" s="30">
        <f t="shared" si="6"/>
        <v>6</v>
      </c>
      <c r="V17" s="30">
        <f t="shared" si="6"/>
        <v>2</v>
      </c>
      <c r="W17" s="30">
        <f t="shared" si="6"/>
        <v>2</v>
      </c>
      <c r="X17" s="30">
        <f t="shared" si="6"/>
        <v>4</v>
      </c>
      <c r="Y17" s="30">
        <f t="shared" si="6"/>
        <v>4</v>
      </c>
      <c r="Z17" s="30">
        <f t="shared" si="7"/>
        <v>4</v>
      </c>
      <c r="AA17" s="31">
        <f t="shared" si="7"/>
        <v>4</v>
      </c>
      <c r="AB17" s="29">
        <f t="shared" si="7"/>
        <v>4</v>
      </c>
      <c r="AC17" s="30">
        <f t="shared" si="7"/>
        <v>4</v>
      </c>
      <c r="AD17" s="30">
        <f t="shared" si="7"/>
        <v>4</v>
      </c>
      <c r="AE17" s="30">
        <f t="shared" si="7"/>
        <v>4</v>
      </c>
      <c r="AF17" s="30">
        <f t="shared" si="7"/>
        <v>4</v>
      </c>
      <c r="AG17" s="30">
        <f t="shared" si="7"/>
        <v>4</v>
      </c>
      <c r="AH17" s="30">
        <f t="shared" si="7"/>
        <v>6</v>
      </c>
      <c r="AI17" s="30">
        <f t="shared" si="7"/>
        <v>4</v>
      </c>
      <c r="AJ17" s="30">
        <f t="shared" si="8"/>
        <v>4</v>
      </c>
      <c r="AK17" s="30">
        <f t="shared" si="8"/>
        <v>4</v>
      </c>
      <c r="AL17" s="30">
        <f t="shared" si="8"/>
        <v>6</v>
      </c>
      <c r="AM17" s="30">
        <f t="shared" si="8"/>
        <v>4</v>
      </c>
      <c r="AN17" s="30">
        <f t="shared" si="8"/>
        <v>6</v>
      </c>
      <c r="AO17" s="30">
        <f t="shared" si="8"/>
        <v>6</v>
      </c>
      <c r="AP17" s="30">
        <f t="shared" si="8"/>
        <v>4</v>
      </c>
      <c r="AQ17" s="30">
        <f t="shared" si="8"/>
        <v>6</v>
      </c>
      <c r="AR17" s="30">
        <f t="shared" si="8"/>
        <v>4</v>
      </c>
      <c r="AS17" s="30">
        <f t="shared" si="8"/>
        <v>4</v>
      </c>
      <c r="AT17" s="30">
        <f t="shared" si="9"/>
        <v>4</v>
      </c>
      <c r="AU17" s="30">
        <f t="shared" si="9"/>
        <v>4</v>
      </c>
      <c r="AV17" s="30">
        <f t="shared" si="9"/>
        <v>4</v>
      </c>
      <c r="AW17" s="30">
        <f t="shared" si="9"/>
        <v>4</v>
      </c>
      <c r="AX17" s="30">
        <f t="shared" si="9"/>
        <v>6</v>
      </c>
      <c r="AY17" s="30">
        <f t="shared" si="9"/>
        <v>4</v>
      </c>
      <c r="AZ17" s="30">
        <f t="shared" si="9"/>
        <v>4</v>
      </c>
      <c r="BA17" s="31">
        <f t="shared" si="9"/>
        <v>4</v>
      </c>
    </row>
    <row r="18" spans="1:53" ht="37.35" customHeight="1" x14ac:dyDescent="0.2">
      <c r="A18" s="28" t="s">
        <v>97</v>
      </c>
      <c r="B18" s="25"/>
      <c r="C18" s="25"/>
      <c r="D18" s="25"/>
      <c r="E18" s="27">
        <v>2</v>
      </c>
      <c r="F18" s="29">
        <f t="shared" si="5"/>
        <v>6</v>
      </c>
      <c r="G18" s="30">
        <f t="shared" si="5"/>
        <v>2</v>
      </c>
      <c r="H18" s="30">
        <f t="shared" si="5"/>
        <v>4</v>
      </c>
      <c r="I18" s="30">
        <f t="shared" si="5"/>
        <v>8</v>
      </c>
      <c r="J18" s="30">
        <f t="shared" si="5"/>
        <v>8</v>
      </c>
      <c r="K18" s="30">
        <f t="shared" si="5"/>
        <v>8</v>
      </c>
      <c r="L18" s="30">
        <f t="shared" si="5"/>
        <v>2</v>
      </c>
      <c r="M18" s="30">
        <f t="shared" si="5"/>
        <v>8</v>
      </c>
      <c r="N18" s="30">
        <f t="shared" si="5"/>
        <v>4</v>
      </c>
      <c r="O18" s="30">
        <f t="shared" si="5"/>
        <v>6</v>
      </c>
      <c r="P18" s="30">
        <f t="shared" si="6"/>
        <v>6</v>
      </c>
      <c r="Q18" s="30">
        <f t="shared" si="6"/>
        <v>4</v>
      </c>
      <c r="R18" s="31">
        <f t="shared" si="6"/>
        <v>6</v>
      </c>
      <c r="S18" s="29">
        <f t="shared" si="6"/>
        <v>4</v>
      </c>
      <c r="T18" s="30">
        <f t="shared" si="6"/>
        <v>4</v>
      </c>
      <c r="U18" s="30">
        <f t="shared" si="6"/>
        <v>6</v>
      </c>
      <c r="V18" s="30">
        <f t="shared" si="6"/>
        <v>2</v>
      </c>
      <c r="W18" s="30">
        <f t="shared" si="6"/>
        <v>2</v>
      </c>
      <c r="X18" s="30">
        <f t="shared" si="6"/>
        <v>4</v>
      </c>
      <c r="Y18" s="30">
        <f t="shared" si="6"/>
        <v>4</v>
      </c>
      <c r="Z18" s="30">
        <f t="shared" si="7"/>
        <v>4</v>
      </c>
      <c r="AA18" s="31">
        <f t="shared" si="7"/>
        <v>4</v>
      </c>
      <c r="AB18" s="29">
        <f t="shared" si="7"/>
        <v>4</v>
      </c>
      <c r="AC18" s="30">
        <f t="shared" si="7"/>
        <v>4</v>
      </c>
      <c r="AD18" s="30">
        <f t="shared" si="7"/>
        <v>4</v>
      </c>
      <c r="AE18" s="30">
        <f t="shared" si="7"/>
        <v>4</v>
      </c>
      <c r="AF18" s="30">
        <f t="shared" si="7"/>
        <v>4</v>
      </c>
      <c r="AG18" s="30">
        <f t="shared" si="7"/>
        <v>4</v>
      </c>
      <c r="AH18" s="30">
        <f t="shared" si="7"/>
        <v>6</v>
      </c>
      <c r="AI18" s="30">
        <f t="shared" si="7"/>
        <v>4</v>
      </c>
      <c r="AJ18" s="30">
        <f t="shared" si="8"/>
        <v>4</v>
      </c>
      <c r="AK18" s="30">
        <f t="shared" si="8"/>
        <v>4</v>
      </c>
      <c r="AL18" s="30">
        <f t="shared" si="8"/>
        <v>6</v>
      </c>
      <c r="AM18" s="30">
        <f t="shared" si="8"/>
        <v>4</v>
      </c>
      <c r="AN18" s="30">
        <f t="shared" si="8"/>
        <v>6</v>
      </c>
      <c r="AO18" s="30">
        <f t="shared" si="8"/>
        <v>6</v>
      </c>
      <c r="AP18" s="30">
        <f t="shared" si="8"/>
        <v>4</v>
      </c>
      <c r="AQ18" s="30">
        <f t="shared" si="8"/>
        <v>6</v>
      </c>
      <c r="AR18" s="30">
        <f t="shared" si="8"/>
        <v>4</v>
      </c>
      <c r="AS18" s="30">
        <f t="shared" si="8"/>
        <v>4</v>
      </c>
      <c r="AT18" s="30">
        <f t="shared" si="9"/>
        <v>4</v>
      </c>
      <c r="AU18" s="30">
        <f t="shared" si="9"/>
        <v>4</v>
      </c>
      <c r="AV18" s="30">
        <f t="shared" si="9"/>
        <v>4</v>
      </c>
      <c r="AW18" s="30">
        <f t="shared" si="9"/>
        <v>4</v>
      </c>
      <c r="AX18" s="30">
        <f t="shared" si="9"/>
        <v>6</v>
      </c>
      <c r="AY18" s="30">
        <f t="shared" si="9"/>
        <v>4</v>
      </c>
      <c r="AZ18" s="30">
        <f t="shared" si="9"/>
        <v>4</v>
      </c>
      <c r="BA18" s="31">
        <f t="shared" si="9"/>
        <v>4</v>
      </c>
    </row>
    <row r="19" spans="1:53" ht="37.35" customHeight="1" x14ac:dyDescent="0.2">
      <c r="A19" s="28" t="s">
        <v>98</v>
      </c>
      <c r="B19" s="25"/>
      <c r="C19" s="25"/>
      <c r="D19" s="25"/>
      <c r="E19" s="27">
        <v>4</v>
      </c>
      <c r="F19" s="29">
        <f t="shared" si="5"/>
        <v>12</v>
      </c>
      <c r="G19" s="30">
        <f t="shared" si="5"/>
        <v>4</v>
      </c>
      <c r="H19" s="30">
        <f t="shared" si="5"/>
        <v>8</v>
      </c>
      <c r="I19" s="30">
        <f t="shared" si="5"/>
        <v>16</v>
      </c>
      <c r="J19" s="30">
        <f t="shared" si="5"/>
        <v>16</v>
      </c>
      <c r="K19" s="30">
        <f t="shared" si="5"/>
        <v>16</v>
      </c>
      <c r="L19" s="30">
        <f t="shared" si="5"/>
        <v>4</v>
      </c>
      <c r="M19" s="30">
        <f t="shared" si="5"/>
        <v>16</v>
      </c>
      <c r="N19" s="30">
        <f t="shared" si="5"/>
        <v>8</v>
      </c>
      <c r="O19" s="30">
        <f t="shared" si="5"/>
        <v>12</v>
      </c>
      <c r="P19" s="30">
        <f t="shared" si="6"/>
        <v>12</v>
      </c>
      <c r="Q19" s="30">
        <f t="shared" si="6"/>
        <v>8</v>
      </c>
      <c r="R19" s="31">
        <f t="shared" si="6"/>
        <v>12</v>
      </c>
      <c r="S19" s="29">
        <f t="shared" si="6"/>
        <v>8</v>
      </c>
      <c r="T19" s="30">
        <f t="shared" si="6"/>
        <v>8</v>
      </c>
      <c r="U19" s="30">
        <f t="shared" si="6"/>
        <v>12</v>
      </c>
      <c r="V19" s="30">
        <f t="shared" si="6"/>
        <v>4</v>
      </c>
      <c r="W19" s="30">
        <f t="shared" si="6"/>
        <v>4</v>
      </c>
      <c r="X19" s="30">
        <f t="shared" si="6"/>
        <v>8</v>
      </c>
      <c r="Y19" s="30">
        <f t="shared" si="6"/>
        <v>8</v>
      </c>
      <c r="Z19" s="30">
        <f t="shared" si="7"/>
        <v>8</v>
      </c>
      <c r="AA19" s="31">
        <f t="shared" si="7"/>
        <v>8</v>
      </c>
      <c r="AB19" s="29">
        <f t="shared" si="7"/>
        <v>8</v>
      </c>
      <c r="AC19" s="30">
        <f t="shared" si="7"/>
        <v>8</v>
      </c>
      <c r="AD19" s="30">
        <f t="shared" si="7"/>
        <v>8</v>
      </c>
      <c r="AE19" s="30">
        <f t="shared" si="7"/>
        <v>8</v>
      </c>
      <c r="AF19" s="30">
        <f t="shared" si="7"/>
        <v>8</v>
      </c>
      <c r="AG19" s="30">
        <f t="shared" si="7"/>
        <v>8</v>
      </c>
      <c r="AH19" s="30">
        <f t="shared" si="7"/>
        <v>12</v>
      </c>
      <c r="AI19" s="30">
        <f t="shared" si="7"/>
        <v>8</v>
      </c>
      <c r="AJ19" s="30">
        <f t="shared" si="8"/>
        <v>8</v>
      </c>
      <c r="AK19" s="30">
        <f t="shared" si="8"/>
        <v>8</v>
      </c>
      <c r="AL19" s="30">
        <f t="shared" si="8"/>
        <v>12</v>
      </c>
      <c r="AM19" s="30">
        <f t="shared" si="8"/>
        <v>8</v>
      </c>
      <c r="AN19" s="30">
        <f t="shared" si="8"/>
        <v>12</v>
      </c>
      <c r="AO19" s="30">
        <f t="shared" si="8"/>
        <v>12</v>
      </c>
      <c r="AP19" s="30">
        <f t="shared" si="8"/>
        <v>8</v>
      </c>
      <c r="AQ19" s="30">
        <f t="shared" si="8"/>
        <v>12</v>
      </c>
      <c r="AR19" s="30">
        <f t="shared" si="8"/>
        <v>8</v>
      </c>
      <c r="AS19" s="30">
        <f t="shared" si="8"/>
        <v>8</v>
      </c>
      <c r="AT19" s="30">
        <f t="shared" si="9"/>
        <v>8</v>
      </c>
      <c r="AU19" s="30">
        <f t="shared" si="9"/>
        <v>8</v>
      </c>
      <c r="AV19" s="30">
        <f t="shared" si="9"/>
        <v>8</v>
      </c>
      <c r="AW19" s="30">
        <f t="shared" si="9"/>
        <v>8</v>
      </c>
      <c r="AX19" s="30">
        <f t="shared" si="9"/>
        <v>12</v>
      </c>
      <c r="AY19" s="30">
        <f t="shared" si="9"/>
        <v>8</v>
      </c>
      <c r="AZ19" s="30">
        <f t="shared" si="9"/>
        <v>8</v>
      </c>
      <c r="BA19" s="31">
        <f t="shared" si="9"/>
        <v>8</v>
      </c>
    </row>
    <row r="20" spans="1:53" ht="37.35" customHeight="1" x14ac:dyDescent="0.2">
      <c r="A20" s="28" t="s">
        <v>99</v>
      </c>
      <c r="B20" s="25"/>
      <c r="C20" s="25"/>
      <c r="D20" s="25"/>
      <c r="E20" s="27">
        <v>3</v>
      </c>
      <c r="F20" s="29">
        <f t="shared" si="5"/>
        <v>9</v>
      </c>
      <c r="G20" s="30">
        <f t="shared" si="5"/>
        <v>3</v>
      </c>
      <c r="H20" s="30">
        <f t="shared" si="5"/>
        <v>6</v>
      </c>
      <c r="I20" s="30">
        <f t="shared" si="5"/>
        <v>12</v>
      </c>
      <c r="J20" s="30">
        <f t="shared" si="5"/>
        <v>12</v>
      </c>
      <c r="K20" s="30">
        <f t="shared" si="5"/>
        <v>12</v>
      </c>
      <c r="L20" s="30">
        <f t="shared" si="5"/>
        <v>3</v>
      </c>
      <c r="M20" s="30">
        <f t="shared" si="5"/>
        <v>12</v>
      </c>
      <c r="N20" s="30">
        <f t="shared" si="5"/>
        <v>6</v>
      </c>
      <c r="O20" s="30">
        <f t="shared" si="5"/>
        <v>9</v>
      </c>
      <c r="P20" s="30">
        <f t="shared" si="6"/>
        <v>9</v>
      </c>
      <c r="Q20" s="30">
        <f t="shared" si="6"/>
        <v>6</v>
      </c>
      <c r="R20" s="31">
        <f t="shared" si="6"/>
        <v>9</v>
      </c>
      <c r="S20" s="29">
        <f t="shared" si="6"/>
        <v>6</v>
      </c>
      <c r="T20" s="30">
        <f t="shared" si="6"/>
        <v>6</v>
      </c>
      <c r="U20" s="30">
        <f t="shared" si="6"/>
        <v>9</v>
      </c>
      <c r="V20" s="30">
        <f t="shared" si="6"/>
        <v>3</v>
      </c>
      <c r="W20" s="30">
        <f t="shared" si="6"/>
        <v>3</v>
      </c>
      <c r="X20" s="30">
        <f t="shared" si="6"/>
        <v>6</v>
      </c>
      <c r="Y20" s="30">
        <f t="shared" si="6"/>
        <v>6</v>
      </c>
      <c r="Z20" s="30">
        <f t="shared" si="7"/>
        <v>6</v>
      </c>
      <c r="AA20" s="31">
        <f t="shared" si="7"/>
        <v>6</v>
      </c>
      <c r="AB20" s="29">
        <f t="shared" si="7"/>
        <v>6</v>
      </c>
      <c r="AC20" s="30">
        <f t="shared" si="7"/>
        <v>6</v>
      </c>
      <c r="AD20" s="30">
        <f t="shared" si="7"/>
        <v>6</v>
      </c>
      <c r="AE20" s="30">
        <f t="shared" si="7"/>
        <v>6</v>
      </c>
      <c r="AF20" s="30">
        <f t="shared" si="7"/>
        <v>6</v>
      </c>
      <c r="AG20" s="30">
        <f t="shared" si="7"/>
        <v>6</v>
      </c>
      <c r="AH20" s="30">
        <f t="shared" si="7"/>
        <v>9</v>
      </c>
      <c r="AI20" s="30">
        <f t="shared" si="7"/>
        <v>6</v>
      </c>
      <c r="AJ20" s="30">
        <f t="shared" si="8"/>
        <v>6</v>
      </c>
      <c r="AK20" s="30">
        <f t="shared" si="8"/>
        <v>6</v>
      </c>
      <c r="AL20" s="30">
        <f t="shared" si="8"/>
        <v>9</v>
      </c>
      <c r="AM20" s="30">
        <f t="shared" si="8"/>
        <v>6</v>
      </c>
      <c r="AN20" s="30">
        <f t="shared" si="8"/>
        <v>9</v>
      </c>
      <c r="AO20" s="30">
        <f t="shared" si="8"/>
        <v>9</v>
      </c>
      <c r="AP20" s="30">
        <f t="shared" si="8"/>
        <v>6</v>
      </c>
      <c r="AQ20" s="30">
        <f t="shared" si="8"/>
        <v>9</v>
      </c>
      <c r="AR20" s="30">
        <f t="shared" si="8"/>
        <v>6</v>
      </c>
      <c r="AS20" s="30">
        <f t="shared" si="8"/>
        <v>6</v>
      </c>
      <c r="AT20" s="30">
        <f t="shared" si="9"/>
        <v>6</v>
      </c>
      <c r="AU20" s="30">
        <f t="shared" si="9"/>
        <v>6</v>
      </c>
      <c r="AV20" s="30">
        <f t="shared" si="9"/>
        <v>6</v>
      </c>
      <c r="AW20" s="30">
        <f t="shared" si="9"/>
        <v>6</v>
      </c>
      <c r="AX20" s="30">
        <f t="shared" si="9"/>
        <v>9</v>
      </c>
      <c r="AY20" s="30">
        <f t="shared" si="9"/>
        <v>6</v>
      </c>
      <c r="AZ20" s="30">
        <f t="shared" si="9"/>
        <v>6</v>
      </c>
      <c r="BA20" s="31">
        <f t="shared" si="9"/>
        <v>6</v>
      </c>
    </row>
  </sheetData>
  <sheetProtection sheet="1" objects="1" scenarios="1"/>
  <mergeCells count="5">
    <mergeCell ref="A2:A4"/>
    <mergeCell ref="E2:E4"/>
    <mergeCell ref="B3:B4"/>
    <mergeCell ref="C3:C4"/>
    <mergeCell ref="D3:D4"/>
  </mergeCells>
  <phoneticPr fontId="0" type="noConversion"/>
  <conditionalFormatting sqref="F5:BA20">
    <cfRule type="cellIs" dxfId="8" priority="1" stopIfTrue="1" operator="between">
      <formula>1</formula>
      <formula>6</formula>
    </cfRule>
    <cfRule type="cellIs" dxfId="7" priority="2" stopIfTrue="1" operator="between">
      <formula>8</formula>
      <formula>9</formula>
    </cfRule>
    <cfRule type="cellIs" dxfId="6" priority="3" stopIfTrue="1" operator="between">
      <formula>12</formula>
      <formula>16</formula>
    </cfRule>
  </conditionalFormatting>
  <dataValidations count="3">
    <dataValidation type="list" operator="equal" allowBlank="1" showErrorMessage="1" sqref="B5:D20" xr:uid="{00000000-0002-0000-0100-000000000000}">
      <formula1>"x"</formula1>
      <formula2>0</formula2>
    </dataValidation>
    <dataValidation operator="equal" allowBlank="1" showErrorMessage="1" sqref="F4:BA4" xr:uid="{00000000-0002-0000-0100-000001000000}">
      <formula1>0</formula1>
      <formula2>0</formula2>
    </dataValidation>
    <dataValidation type="list" operator="equal" allowBlank="1" showErrorMessage="1" sqref="E5:E20" xr:uid="{00000000-0002-0000-0100-000002000000}">
      <formula1>Escala</formula1>
      <formula2>0</formula2>
    </dataValidation>
  </dataValidations>
  <pageMargins left="0.39374999999999999" right="0.39374999999999999" top="0.63124999999999998" bottom="0.63124999999999998" header="0.39374999999999999" footer="0.39374999999999999"/>
  <pageSetup paperSize="5" firstPageNumber="0" orientation="landscape" horizontalDpi="300" verticalDpi="300"/>
  <headerFooter alignWithMargins="0">
    <oddHeader>&amp;L&amp;"Arial,Normal"&amp;F&amp;C&amp;"Arial,Normal"&amp;A</oddHeader>
    <oddFooter>&amp;C&amp;"Arial,Normal"Page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A16"/>
  <sheetViews>
    <sheetView showGridLines="0" zoomScale="25" zoomScaleNormal="2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E16" sqref="E16"/>
    </sheetView>
  </sheetViews>
  <sheetFormatPr baseColWidth="10" defaultColWidth="10.08984375" defaultRowHeight="12.6" x14ac:dyDescent="0.2"/>
  <cols>
    <col min="1" max="1" width="28.6328125" style="1" customWidth="1"/>
    <col min="2" max="4" width="6.26953125" style="1" customWidth="1"/>
    <col min="5" max="5" width="17.453125" style="1" bestFit="1" customWidth="1"/>
    <col min="6" max="53" width="6.26953125" style="1" customWidth="1"/>
    <col min="54" max="16384" width="10.08984375" style="1"/>
  </cols>
  <sheetData>
    <row r="1" spans="1:53" ht="28.35" customHeight="1" x14ac:dyDescent="0.2">
      <c r="A1" s="2" t="str">
        <f>'1_Datos'!A1</f>
        <v>Matriz de Análisis de Riesgo</v>
      </c>
      <c r="B1" s="3"/>
      <c r="C1" s="3"/>
      <c r="D1" s="3"/>
      <c r="E1" s="4"/>
      <c r="F1" s="5" t="str">
        <f>'1_Datos'!F1</f>
        <v>Probabilidad de Amenaza [1 = Insignificante, 2 = Baja,  3= Mediana, 4 = Alta]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7"/>
    </row>
    <row r="2" spans="1:53" ht="22.65" customHeight="1" x14ac:dyDescent="0.2">
      <c r="A2" s="66" t="s">
        <v>100</v>
      </c>
      <c r="B2" s="8" t="str">
        <f>'1_Datos'!B2</f>
        <v>Clasificación</v>
      </c>
      <c r="C2" s="9"/>
      <c r="D2" s="10"/>
      <c r="E2" s="69" t="str">
        <f>'1_Datos'!E2:E4</f>
        <v>Magnitud de Daño:
[1 = Insignificante
2 = Bajo
3 = Mediano
4 = Alto]</v>
      </c>
      <c r="F2" s="11" t="str">
        <f>'1_Datos'!F2</f>
        <v>Actos originados por la criminalidad común y motivación política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4" t="str">
        <f>'1_Datos'!S2</f>
        <v>Sucesos de origen físico</v>
      </c>
      <c r="T2" s="15"/>
      <c r="U2" s="15"/>
      <c r="V2" s="15"/>
      <c r="W2" s="15"/>
      <c r="X2" s="15"/>
      <c r="Y2" s="15"/>
      <c r="Z2" s="15"/>
      <c r="AA2" s="16"/>
      <c r="AB2" s="11" t="str">
        <f>'1_Datos'!AB2</f>
        <v>Sucesos derivados de la impericia, negligencia de usuarios/as y decisiones institucionales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3"/>
    </row>
    <row r="3" spans="1:53" ht="205.5" customHeight="1" x14ac:dyDescent="0.2">
      <c r="A3" s="66"/>
      <c r="B3" s="68" t="s">
        <v>101</v>
      </c>
      <c r="C3" s="70" t="s">
        <v>102</v>
      </c>
      <c r="D3" s="68" t="s">
        <v>103</v>
      </c>
      <c r="E3" s="69"/>
      <c r="F3" s="17" t="str">
        <f>'1_Datos'!F3</f>
        <v>Allanamiento (ilegal, legal)</v>
      </c>
      <c r="G3" s="18" t="str">
        <f>'1_Datos'!G3</f>
        <v>Persecución (civil, fiscal, penal)</v>
      </c>
      <c r="H3" s="18" t="str">
        <f>'1_Datos'!H3</f>
        <v>Orden de secuestro / Detención</v>
      </c>
      <c r="I3" s="18" t="str">
        <f>'1_Datos'!I3</f>
        <v>Sabotaje (ataque físico y electrónico)</v>
      </c>
      <c r="J3" s="19" t="str">
        <f>'1_Datos'!J3</f>
        <v>Daños por vandalismo</v>
      </c>
      <c r="K3" s="18" t="str">
        <f>'1_Datos'!K3</f>
        <v>Extorsión</v>
      </c>
      <c r="L3" s="18" t="str">
        <f>'1_Datos'!L3</f>
        <v>Fraude / Estafa</v>
      </c>
      <c r="M3" s="18" t="str">
        <f>'1_Datos'!M3</f>
        <v>Robo / Hurto (físico)</v>
      </c>
      <c r="N3" s="18" t="str">
        <f>'1_Datos'!N3</f>
        <v>Robo / Hurto de información electrónica</v>
      </c>
      <c r="O3" s="18" t="str">
        <f>'1_Datos'!O3</f>
        <v>Intrusión a Red interna</v>
      </c>
      <c r="P3" s="18" t="str">
        <f>'1_Datos'!P3</f>
        <v>Infiltración</v>
      </c>
      <c r="Q3" s="18" t="str">
        <f>'1_Datos'!Q3</f>
        <v>Virus / Ejecución no autorizado de programas</v>
      </c>
      <c r="R3" s="20" t="str">
        <f>'1_Datos'!R3</f>
        <v>Violación a derechos de autor</v>
      </c>
      <c r="S3" s="21" t="str">
        <f>'1_Datos'!S3</f>
        <v>Incendio</v>
      </c>
      <c r="T3" s="22" t="str">
        <f>'1_Datos'!T3</f>
        <v>Inundación / deslave</v>
      </c>
      <c r="U3" s="22" t="str">
        <f>'1_Datos'!U3</f>
        <v>Sismo</v>
      </c>
      <c r="V3" s="22" t="str">
        <f>'1_Datos'!V3</f>
        <v>Polvo</v>
      </c>
      <c r="W3" s="22" t="str">
        <f>'1_Datos'!W3</f>
        <v>Falta de ventilación</v>
      </c>
      <c r="X3" s="22" t="str">
        <f>'1_Datos'!X3</f>
        <v>Electromagnetismo</v>
      </c>
      <c r="Y3" s="22" t="str">
        <f>'1_Datos'!Y3</f>
        <v>Sobrecarga eléctrica</v>
      </c>
      <c r="Z3" s="22" t="str">
        <f>'1_Datos'!Z3</f>
        <v>Falla de corriente (apagones)</v>
      </c>
      <c r="AA3" s="23" t="str">
        <f>'1_Datos'!AA3</f>
        <v>Falla de sistema / Daño disco duro</v>
      </c>
      <c r="AB3" s="17" t="str">
        <f>'1_Datos'!AB3</f>
        <v>Falta de inducción, capacitación y sensibilización sobre riesgos</v>
      </c>
      <c r="AC3" s="18" t="str">
        <f>'1_Datos'!AC3</f>
        <v>Mal manejo de sistemas y herramientas</v>
      </c>
      <c r="AD3" s="18" t="str">
        <f>'1_Datos'!AD3</f>
        <v>Utilización de programas no autorizados / software 'pirateado'</v>
      </c>
      <c r="AE3" s="18" t="str">
        <f>'1_Datos'!AE3</f>
        <v>Falta de pruebas de software nuevo con datos productivos</v>
      </c>
      <c r="AF3" s="18" t="str">
        <f>'1_Datos'!AF3</f>
        <v>Perdida de datos</v>
      </c>
      <c r="AG3" s="18" t="str">
        <f>'1_Datos'!AG3</f>
        <v>Infección de sistemas a través de unidades portables sin escaneo</v>
      </c>
      <c r="AH3" s="18" t="str">
        <f>'1_Datos'!AH3</f>
        <v>Manejo inadecuado de datos críticos (codificar, borrar, etc.)</v>
      </c>
      <c r="AI3" s="18" t="str">
        <f>'1_Datos'!AI3</f>
        <v>Unidades portables con información sin cifrado</v>
      </c>
      <c r="AJ3" s="18" t="str">
        <f>'1_Datos'!AJ3</f>
        <v>Transmisión no cifrada de datos críticos</v>
      </c>
      <c r="AK3" s="18" t="str">
        <f>'1_Datos'!AK3</f>
        <v>Manejo inadecuado de contraseñas (inseguras, no cambiar, compartidas, BD centralizada)</v>
      </c>
      <c r="AL3" s="18" t="str">
        <f>'1_Datos'!AL3</f>
        <v>Compartir contraseñas o permisos a terceros no autorizados</v>
      </c>
      <c r="AM3" s="18" t="str">
        <f>'1_Datos'!AM3</f>
        <v>Transmisión de contraseñas por teléfono</v>
      </c>
      <c r="AN3" s="18" t="str">
        <f>'1_Datos'!AN3</f>
        <v>Exposición o extravío de equipo, unidades de almacenamiento, etc</v>
      </c>
      <c r="AO3" s="18" t="str">
        <f>'1_Datos'!AO3</f>
        <v>Sobrepasar autoridades</v>
      </c>
      <c r="AP3" s="18" t="str">
        <f>'1_Datos'!AP3</f>
        <v>Falta de definición de perfil, privilegios y restricciones del personal</v>
      </c>
      <c r="AQ3" s="18" t="str">
        <f>'1_Datos'!AQ3</f>
        <v>Falta de mantenimiento físico (proceso, repuestos e insumos)</v>
      </c>
      <c r="AR3" s="18" t="str">
        <f>'1_Datos'!AR3</f>
        <v>Falta de actualización de software (proceso y recursos)</v>
      </c>
      <c r="AS3" s="18" t="str">
        <f>'1_Datos'!AS3</f>
        <v>Fallas en permisos de usuarios (acceso a archivos)</v>
      </c>
      <c r="AT3" s="18" t="str">
        <f>'1_Datos'!AT3</f>
        <v>Acceso electrónico no autorizado a sistemas externos</v>
      </c>
      <c r="AU3" s="18" t="str">
        <f>'1_Datos'!AU3</f>
        <v>Acceso electrónico no autorizado a sistemas internos</v>
      </c>
      <c r="AV3" s="18" t="str">
        <f>'1_Datos'!AV3</f>
        <v>Red cableada expuesta para el acceso no autorizado</v>
      </c>
      <c r="AW3" s="18" t="str">
        <f>'1_Datos'!AW3</f>
        <v>Red inalámbrica expuesta al acceso no autorizado</v>
      </c>
      <c r="AX3" s="18" t="str">
        <f>'1_Datos'!AX3</f>
        <v>Dependencia a servicio técnico externo</v>
      </c>
      <c r="AY3" s="18" t="str">
        <f>'1_Datos'!AY3</f>
        <v>Falta de normas y reglas claras (no institucionalizar el estudio de los riesgos)</v>
      </c>
      <c r="AZ3" s="18" t="str">
        <f>'1_Datos'!AZ3</f>
        <v>Falta de mecanismos de verificación de normas y reglas / Análisis inadecuado de datos de control</v>
      </c>
      <c r="BA3" s="20" t="str">
        <f>'1_Datos'!BA3</f>
        <v>Ausencia de documentación</v>
      </c>
    </row>
    <row r="4" spans="1:53" ht="28.35" customHeight="1" x14ac:dyDescent="0.2">
      <c r="A4" s="66"/>
      <c r="B4" s="68">
        <f>'1_Datos'!B4</f>
        <v>0</v>
      </c>
      <c r="C4" s="70">
        <f>'1_Datos'!C4</f>
        <v>0</v>
      </c>
      <c r="D4" s="68">
        <f>'1_Datos'!D4</f>
        <v>0</v>
      </c>
      <c r="E4" s="69"/>
      <c r="F4" s="32">
        <f>'1_Datos'!F4</f>
        <v>3</v>
      </c>
      <c r="G4" s="32">
        <f>'1_Datos'!G4</f>
        <v>1</v>
      </c>
      <c r="H4" s="32">
        <f>'1_Datos'!H4</f>
        <v>2</v>
      </c>
      <c r="I4" s="32">
        <f>'1_Datos'!I4</f>
        <v>4</v>
      </c>
      <c r="J4" s="32">
        <f>'1_Datos'!J4</f>
        <v>4</v>
      </c>
      <c r="K4" s="32">
        <f>'1_Datos'!K4</f>
        <v>4</v>
      </c>
      <c r="L4" s="32">
        <f>'1_Datos'!L4</f>
        <v>1</v>
      </c>
      <c r="M4" s="32">
        <f>'1_Datos'!M4</f>
        <v>4</v>
      </c>
      <c r="N4" s="32">
        <f>'1_Datos'!N4</f>
        <v>2</v>
      </c>
      <c r="O4" s="32">
        <f>'1_Datos'!O4</f>
        <v>3</v>
      </c>
      <c r="P4" s="32">
        <f>'1_Datos'!P4</f>
        <v>3</v>
      </c>
      <c r="Q4" s="32">
        <f>'1_Datos'!Q4</f>
        <v>2</v>
      </c>
      <c r="R4" s="32">
        <f>'1_Datos'!R4</f>
        <v>3</v>
      </c>
      <c r="S4" s="33">
        <f>'1_Datos'!S4</f>
        <v>2</v>
      </c>
      <c r="T4" s="32">
        <f>'1_Datos'!T4</f>
        <v>2</v>
      </c>
      <c r="U4" s="32">
        <f>'1_Datos'!U4</f>
        <v>3</v>
      </c>
      <c r="V4" s="32">
        <f>'1_Datos'!V4</f>
        <v>1</v>
      </c>
      <c r="W4" s="32">
        <f>'1_Datos'!W4</f>
        <v>1</v>
      </c>
      <c r="X4" s="32">
        <f>'1_Datos'!X4</f>
        <v>2</v>
      </c>
      <c r="Y4" s="32">
        <f>'1_Datos'!Y4</f>
        <v>2</v>
      </c>
      <c r="Z4" s="32">
        <f>'1_Datos'!Z4</f>
        <v>2</v>
      </c>
      <c r="AA4" s="34">
        <f>'1_Datos'!AA4</f>
        <v>2</v>
      </c>
      <c r="AB4" s="33">
        <f>'1_Datos'!AB4</f>
        <v>2</v>
      </c>
      <c r="AC4" s="32">
        <f>'1_Datos'!AC4</f>
        <v>2</v>
      </c>
      <c r="AD4" s="32">
        <f>'1_Datos'!AD4</f>
        <v>2</v>
      </c>
      <c r="AE4" s="32">
        <f>'1_Datos'!AE4</f>
        <v>2</v>
      </c>
      <c r="AF4" s="32">
        <f>'1_Datos'!AF4</f>
        <v>2</v>
      </c>
      <c r="AG4" s="32">
        <f>'1_Datos'!AG4</f>
        <v>2</v>
      </c>
      <c r="AH4" s="32">
        <f>'1_Datos'!AH4</f>
        <v>3</v>
      </c>
      <c r="AI4" s="32">
        <f>'1_Datos'!AI4</f>
        <v>2</v>
      </c>
      <c r="AJ4" s="32">
        <f>'1_Datos'!AJ4</f>
        <v>2</v>
      </c>
      <c r="AK4" s="32">
        <f>'1_Datos'!AK4</f>
        <v>2</v>
      </c>
      <c r="AL4" s="32">
        <f>'1_Datos'!AL4</f>
        <v>3</v>
      </c>
      <c r="AM4" s="32">
        <f>'1_Datos'!AM4</f>
        <v>2</v>
      </c>
      <c r="AN4" s="32">
        <f>'1_Datos'!AN4</f>
        <v>3</v>
      </c>
      <c r="AO4" s="32">
        <f>'1_Datos'!AO4</f>
        <v>3</v>
      </c>
      <c r="AP4" s="32">
        <f>'1_Datos'!AP4</f>
        <v>2</v>
      </c>
      <c r="AQ4" s="32">
        <f>'1_Datos'!AQ4</f>
        <v>3</v>
      </c>
      <c r="AR4" s="32">
        <f>'1_Datos'!AR4</f>
        <v>2</v>
      </c>
      <c r="AS4" s="32">
        <f>'1_Datos'!AS4</f>
        <v>2</v>
      </c>
      <c r="AT4" s="32">
        <f>'1_Datos'!AT4</f>
        <v>2</v>
      </c>
      <c r="AU4" s="32">
        <f>'1_Datos'!AU4</f>
        <v>2</v>
      </c>
      <c r="AV4" s="32">
        <f>'1_Datos'!AV4</f>
        <v>2</v>
      </c>
      <c r="AW4" s="32">
        <f>'1_Datos'!AW4</f>
        <v>2</v>
      </c>
      <c r="AX4" s="32">
        <f>'1_Datos'!AX4</f>
        <v>3</v>
      </c>
      <c r="AY4" s="32">
        <f>'1_Datos'!AY4</f>
        <v>2</v>
      </c>
      <c r="AZ4" s="32">
        <f>'1_Datos'!AZ4</f>
        <v>2</v>
      </c>
      <c r="BA4" s="34">
        <f>'1_Datos'!BA4</f>
        <v>2</v>
      </c>
    </row>
    <row r="5" spans="1:53" ht="37.35" customHeight="1" x14ac:dyDescent="0.2">
      <c r="A5" s="28" t="s">
        <v>104</v>
      </c>
      <c r="B5" s="25"/>
      <c r="C5" s="25"/>
      <c r="D5" s="25"/>
      <c r="E5" s="27">
        <v>2</v>
      </c>
      <c r="F5" s="29">
        <f t="shared" ref="F5:O16" si="0">IF(OR($E5="",F$4=""),"",F$4*$E5)</f>
        <v>6</v>
      </c>
      <c r="G5" s="30">
        <f t="shared" si="0"/>
        <v>2</v>
      </c>
      <c r="H5" s="30">
        <f t="shared" si="0"/>
        <v>4</v>
      </c>
      <c r="I5" s="30">
        <f t="shared" si="0"/>
        <v>8</v>
      </c>
      <c r="J5" s="30">
        <f t="shared" si="0"/>
        <v>8</v>
      </c>
      <c r="K5" s="30">
        <f t="shared" si="0"/>
        <v>8</v>
      </c>
      <c r="L5" s="30">
        <f t="shared" si="0"/>
        <v>2</v>
      </c>
      <c r="M5" s="30">
        <f t="shared" si="0"/>
        <v>8</v>
      </c>
      <c r="N5" s="30">
        <f t="shared" si="0"/>
        <v>4</v>
      </c>
      <c r="O5" s="30">
        <f t="shared" si="0"/>
        <v>6</v>
      </c>
      <c r="P5" s="30">
        <f t="shared" ref="P5:Y16" si="1">IF(OR($E5="",P$4=""),"",P$4*$E5)</f>
        <v>6</v>
      </c>
      <c r="Q5" s="30">
        <f t="shared" si="1"/>
        <v>4</v>
      </c>
      <c r="R5" s="31">
        <f t="shared" si="1"/>
        <v>6</v>
      </c>
      <c r="S5" s="29">
        <f t="shared" si="1"/>
        <v>4</v>
      </c>
      <c r="T5" s="30">
        <f t="shared" si="1"/>
        <v>4</v>
      </c>
      <c r="U5" s="30">
        <f t="shared" si="1"/>
        <v>6</v>
      </c>
      <c r="V5" s="30">
        <f t="shared" si="1"/>
        <v>2</v>
      </c>
      <c r="W5" s="30">
        <f t="shared" si="1"/>
        <v>2</v>
      </c>
      <c r="X5" s="30">
        <f t="shared" si="1"/>
        <v>4</v>
      </c>
      <c r="Y5" s="30">
        <f t="shared" si="1"/>
        <v>4</v>
      </c>
      <c r="Z5" s="30">
        <f t="shared" ref="Z5:AI16" si="2">IF(OR($E5="",Z$4=""),"",Z$4*$E5)</f>
        <v>4</v>
      </c>
      <c r="AA5" s="31">
        <f t="shared" si="2"/>
        <v>4</v>
      </c>
      <c r="AB5" s="29">
        <f t="shared" si="2"/>
        <v>4</v>
      </c>
      <c r="AC5" s="30">
        <f t="shared" si="2"/>
        <v>4</v>
      </c>
      <c r="AD5" s="30">
        <f t="shared" si="2"/>
        <v>4</v>
      </c>
      <c r="AE5" s="30">
        <f t="shared" si="2"/>
        <v>4</v>
      </c>
      <c r="AF5" s="30">
        <f t="shared" si="2"/>
        <v>4</v>
      </c>
      <c r="AG5" s="30">
        <f t="shared" si="2"/>
        <v>4</v>
      </c>
      <c r="AH5" s="30">
        <f t="shared" si="2"/>
        <v>6</v>
      </c>
      <c r="AI5" s="30">
        <f t="shared" si="2"/>
        <v>4</v>
      </c>
      <c r="AJ5" s="30">
        <f t="shared" ref="AJ5:AS16" si="3">IF(OR($E5="",AJ$4=""),"",AJ$4*$E5)</f>
        <v>4</v>
      </c>
      <c r="AK5" s="30">
        <f t="shared" si="3"/>
        <v>4</v>
      </c>
      <c r="AL5" s="30">
        <f t="shared" si="3"/>
        <v>6</v>
      </c>
      <c r="AM5" s="30">
        <f t="shared" si="3"/>
        <v>4</v>
      </c>
      <c r="AN5" s="30">
        <f t="shared" si="3"/>
        <v>6</v>
      </c>
      <c r="AO5" s="30">
        <f t="shared" si="3"/>
        <v>6</v>
      </c>
      <c r="AP5" s="30">
        <f t="shared" si="3"/>
        <v>4</v>
      </c>
      <c r="AQ5" s="30">
        <f t="shared" si="3"/>
        <v>6</v>
      </c>
      <c r="AR5" s="30">
        <f t="shared" si="3"/>
        <v>4</v>
      </c>
      <c r="AS5" s="30">
        <f t="shared" si="3"/>
        <v>4</v>
      </c>
      <c r="AT5" s="30">
        <f t="shared" ref="AT5:BA16" si="4">IF(OR($E5="",AT$4=""),"",AT$4*$E5)</f>
        <v>4</v>
      </c>
      <c r="AU5" s="30">
        <f t="shared" si="4"/>
        <v>4</v>
      </c>
      <c r="AV5" s="30">
        <f t="shared" si="4"/>
        <v>4</v>
      </c>
      <c r="AW5" s="30">
        <f t="shared" si="4"/>
        <v>4</v>
      </c>
      <c r="AX5" s="30">
        <f t="shared" si="4"/>
        <v>6</v>
      </c>
      <c r="AY5" s="30">
        <f t="shared" si="4"/>
        <v>4</v>
      </c>
      <c r="AZ5" s="30">
        <f t="shared" si="4"/>
        <v>4</v>
      </c>
      <c r="BA5" s="31">
        <f t="shared" si="4"/>
        <v>4</v>
      </c>
    </row>
    <row r="6" spans="1:53" ht="37.35" customHeight="1" x14ac:dyDescent="0.2">
      <c r="A6" s="28" t="s">
        <v>105</v>
      </c>
      <c r="B6" s="25"/>
      <c r="C6" s="25"/>
      <c r="D6" s="25"/>
      <c r="E6" s="27">
        <v>2</v>
      </c>
      <c r="F6" s="29">
        <f t="shared" si="0"/>
        <v>6</v>
      </c>
      <c r="G6" s="30">
        <f t="shared" si="0"/>
        <v>2</v>
      </c>
      <c r="H6" s="30">
        <f t="shared" si="0"/>
        <v>4</v>
      </c>
      <c r="I6" s="30">
        <f t="shared" si="0"/>
        <v>8</v>
      </c>
      <c r="J6" s="30">
        <f t="shared" si="0"/>
        <v>8</v>
      </c>
      <c r="K6" s="30">
        <f t="shared" si="0"/>
        <v>8</v>
      </c>
      <c r="L6" s="30">
        <f t="shared" si="0"/>
        <v>2</v>
      </c>
      <c r="M6" s="30">
        <f t="shared" si="0"/>
        <v>8</v>
      </c>
      <c r="N6" s="30">
        <f t="shared" si="0"/>
        <v>4</v>
      </c>
      <c r="O6" s="30">
        <f t="shared" si="0"/>
        <v>6</v>
      </c>
      <c r="P6" s="30">
        <f t="shared" si="1"/>
        <v>6</v>
      </c>
      <c r="Q6" s="30">
        <f t="shared" si="1"/>
        <v>4</v>
      </c>
      <c r="R6" s="31">
        <f t="shared" si="1"/>
        <v>6</v>
      </c>
      <c r="S6" s="29">
        <f t="shared" si="1"/>
        <v>4</v>
      </c>
      <c r="T6" s="30">
        <f t="shared" si="1"/>
        <v>4</v>
      </c>
      <c r="U6" s="30">
        <f t="shared" si="1"/>
        <v>6</v>
      </c>
      <c r="V6" s="30">
        <f t="shared" si="1"/>
        <v>2</v>
      </c>
      <c r="W6" s="30">
        <f t="shared" si="1"/>
        <v>2</v>
      </c>
      <c r="X6" s="30">
        <f t="shared" si="1"/>
        <v>4</v>
      </c>
      <c r="Y6" s="30">
        <f t="shared" si="1"/>
        <v>4</v>
      </c>
      <c r="Z6" s="30">
        <f t="shared" si="2"/>
        <v>4</v>
      </c>
      <c r="AA6" s="31">
        <f t="shared" si="2"/>
        <v>4</v>
      </c>
      <c r="AB6" s="29">
        <f t="shared" si="2"/>
        <v>4</v>
      </c>
      <c r="AC6" s="30">
        <f t="shared" si="2"/>
        <v>4</v>
      </c>
      <c r="AD6" s="30">
        <f t="shared" si="2"/>
        <v>4</v>
      </c>
      <c r="AE6" s="30">
        <f t="shared" si="2"/>
        <v>4</v>
      </c>
      <c r="AF6" s="30">
        <f t="shared" si="2"/>
        <v>4</v>
      </c>
      <c r="AG6" s="30">
        <f t="shared" si="2"/>
        <v>4</v>
      </c>
      <c r="AH6" s="30">
        <f t="shared" si="2"/>
        <v>6</v>
      </c>
      <c r="AI6" s="30">
        <f t="shared" si="2"/>
        <v>4</v>
      </c>
      <c r="AJ6" s="30">
        <f t="shared" si="3"/>
        <v>4</v>
      </c>
      <c r="AK6" s="30">
        <f t="shared" si="3"/>
        <v>4</v>
      </c>
      <c r="AL6" s="30">
        <f t="shared" si="3"/>
        <v>6</v>
      </c>
      <c r="AM6" s="30">
        <f t="shared" si="3"/>
        <v>4</v>
      </c>
      <c r="AN6" s="30">
        <f t="shared" si="3"/>
        <v>6</v>
      </c>
      <c r="AO6" s="30">
        <f t="shared" si="3"/>
        <v>6</v>
      </c>
      <c r="AP6" s="30">
        <f t="shared" si="3"/>
        <v>4</v>
      </c>
      <c r="AQ6" s="30">
        <f t="shared" si="3"/>
        <v>6</v>
      </c>
      <c r="AR6" s="30">
        <f t="shared" si="3"/>
        <v>4</v>
      </c>
      <c r="AS6" s="30">
        <f t="shared" si="3"/>
        <v>4</v>
      </c>
      <c r="AT6" s="30">
        <f t="shared" si="4"/>
        <v>4</v>
      </c>
      <c r="AU6" s="30">
        <f t="shared" si="4"/>
        <v>4</v>
      </c>
      <c r="AV6" s="30">
        <f t="shared" si="4"/>
        <v>4</v>
      </c>
      <c r="AW6" s="30">
        <f t="shared" si="4"/>
        <v>4</v>
      </c>
      <c r="AX6" s="30">
        <f t="shared" si="4"/>
        <v>6</v>
      </c>
      <c r="AY6" s="30">
        <f t="shared" si="4"/>
        <v>4</v>
      </c>
      <c r="AZ6" s="30">
        <f t="shared" si="4"/>
        <v>4</v>
      </c>
      <c r="BA6" s="31">
        <f t="shared" si="4"/>
        <v>4</v>
      </c>
    </row>
    <row r="7" spans="1:53" ht="37.35" customHeight="1" x14ac:dyDescent="0.2">
      <c r="A7" s="28" t="s">
        <v>106</v>
      </c>
      <c r="B7" s="25"/>
      <c r="C7" s="25"/>
      <c r="D7" s="25"/>
      <c r="E7" s="27">
        <v>4</v>
      </c>
      <c r="F7" s="29">
        <f t="shared" si="0"/>
        <v>12</v>
      </c>
      <c r="G7" s="30">
        <f t="shared" si="0"/>
        <v>4</v>
      </c>
      <c r="H7" s="30">
        <f t="shared" si="0"/>
        <v>8</v>
      </c>
      <c r="I7" s="30">
        <f t="shared" si="0"/>
        <v>16</v>
      </c>
      <c r="J7" s="30">
        <f t="shared" si="0"/>
        <v>16</v>
      </c>
      <c r="K7" s="30">
        <f t="shared" si="0"/>
        <v>16</v>
      </c>
      <c r="L7" s="30">
        <f t="shared" si="0"/>
        <v>4</v>
      </c>
      <c r="M7" s="30">
        <f t="shared" si="0"/>
        <v>16</v>
      </c>
      <c r="N7" s="30">
        <f t="shared" si="0"/>
        <v>8</v>
      </c>
      <c r="O7" s="30">
        <f t="shared" si="0"/>
        <v>12</v>
      </c>
      <c r="P7" s="30">
        <f t="shared" si="1"/>
        <v>12</v>
      </c>
      <c r="Q7" s="30">
        <f t="shared" si="1"/>
        <v>8</v>
      </c>
      <c r="R7" s="31">
        <f t="shared" si="1"/>
        <v>12</v>
      </c>
      <c r="S7" s="29">
        <f t="shared" si="1"/>
        <v>8</v>
      </c>
      <c r="T7" s="30">
        <f t="shared" si="1"/>
        <v>8</v>
      </c>
      <c r="U7" s="30">
        <f t="shared" si="1"/>
        <v>12</v>
      </c>
      <c r="V7" s="30">
        <f t="shared" si="1"/>
        <v>4</v>
      </c>
      <c r="W7" s="30">
        <f t="shared" si="1"/>
        <v>4</v>
      </c>
      <c r="X7" s="30">
        <f t="shared" si="1"/>
        <v>8</v>
      </c>
      <c r="Y7" s="30">
        <f t="shared" si="1"/>
        <v>8</v>
      </c>
      <c r="Z7" s="30">
        <f t="shared" si="2"/>
        <v>8</v>
      </c>
      <c r="AA7" s="31">
        <f t="shared" si="2"/>
        <v>8</v>
      </c>
      <c r="AB7" s="29">
        <f t="shared" si="2"/>
        <v>8</v>
      </c>
      <c r="AC7" s="30">
        <f t="shared" si="2"/>
        <v>8</v>
      </c>
      <c r="AD7" s="30">
        <f t="shared" si="2"/>
        <v>8</v>
      </c>
      <c r="AE7" s="30">
        <f t="shared" si="2"/>
        <v>8</v>
      </c>
      <c r="AF7" s="30">
        <f t="shared" si="2"/>
        <v>8</v>
      </c>
      <c r="AG7" s="30">
        <f t="shared" si="2"/>
        <v>8</v>
      </c>
      <c r="AH7" s="30">
        <f t="shared" si="2"/>
        <v>12</v>
      </c>
      <c r="AI7" s="30">
        <f t="shared" si="2"/>
        <v>8</v>
      </c>
      <c r="AJ7" s="30">
        <f t="shared" si="3"/>
        <v>8</v>
      </c>
      <c r="AK7" s="30">
        <f t="shared" si="3"/>
        <v>8</v>
      </c>
      <c r="AL7" s="30">
        <f t="shared" si="3"/>
        <v>12</v>
      </c>
      <c r="AM7" s="30">
        <f t="shared" si="3"/>
        <v>8</v>
      </c>
      <c r="AN7" s="30">
        <f t="shared" si="3"/>
        <v>12</v>
      </c>
      <c r="AO7" s="30">
        <f t="shared" si="3"/>
        <v>12</v>
      </c>
      <c r="AP7" s="30">
        <f t="shared" si="3"/>
        <v>8</v>
      </c>
      <c r="AQ7" s="30">
        <f t="shared" si="3"/>
        <v>12</v>
      </c>
      <c r="AR7" s="30">
        <f t="shared" si="3"/>
        <v>8</v>
      </c>
      <c r="AS7" s="30">
        <f t="shared" si="3"/>
        <v>8</v>
      </c>
      <c r="AT7" s="30">
        <f t="shared" si="4"/>
        <v>8</v>
      </c>
      <c r="AU7" s="30">
        <f t="shared" si="4"/>
        <v>8</v>
      </c>
      <c r="AV7" s="30">
        <f t="shared" si="4"/>
        <v>8</v>
      </c>
      <c r="AW7" s="30">
        <f t="shared" si="4"/>
        <v>8</v>
      </c>
      <c r="AX7" s="30">
        <f t="shared" si="4"/>
        <v>12</v>
      </c>
      <c r="AY7" s="30">
        <f t="shared" si="4"/>
        <v>8</v>
      </c>
      <c r="AZ7" s="30">
        <f t="shared" si="4"/>
        <v>8</v>
      </c>
      <c r="BA7" s="31">
        <f t="shared" si="4"/>
        <v>8</v>
      </c>
    </row>
    <row r="8" spans="1:53" ht="37.35" customHeight="1" x14ac:dyDescent="0.2">
      <c r="A8" s="28" t="s">
        <v>107</v>
      </c>
      <c r="B8" s="25"/>
      <c r="C8" s="25"/>
      <c r="D8" s="25"/>
      <c r="E8" s="27">
        <v>2</v>
      </c>
      <c r="F8" s="29">
        <f t="shared" si="0"/>
        <v>6</v>
      </c>
      <c r="G8" s="30">
        <f t="shared" si="0"/>
        <v>2</v>
      </c>
      <c r="H8" s="30">
        <f t="shared" si="0"/>
        <v>4</v>
      </c>
      <c r="I8" s="30">
        <f t="shared" si="0"/>
        <v>8</v>
      </c>
      <c r="J8" s="30">
        <f t="shared" si="0"/>
        <v>8</v>
      </c>
      <c r="K8" s="30">
        <f t="shared" si="0"/>
        <v>8</v>
      </c>
      <c r="L8" s="30">
        <f t="shared" si="0"/>
        <v>2</v>
      </c>
      <c r="M8" s="30">
        <f t="shared" si="0"/>
        <v>8</v>
      </c>
      <c r="N8" s="30">
        <f t="shared" si="0"/>
        <v>4</v>
      </c>
      <c r="O8" s="30">
        <f t="shared" si="0"/>
        <v>6</v>
      </c>
      <c r="P8" s="30">
        <f t="shared" si="1"/>
        <v>6</v>
      </c>
      <c r="Q8" s="30">
        <f t="shared" si="1"/>
        <v>4</v>
      </c>
      <c r="R8" s="31">
        <f t="shared" si="1"/>
        <v>6</v>
      </c>
      <c r="S8" s="29">
        <f t="shared" si="1"/>
        <v>4</v>
      </c>
      <c r="T8" s="30">
        <f t="shared" si="1"/>
        <v>4</v>
      </c>
      <c r="U8" s="30">
        <f t="shared" si="1"/>
        <v>6</v>
      </c>
      <c r="V8" s="30">
        <f t="shared" si="1"/>
        <v>2</v>
      </c>
      <c r="W8" s="30">
        <f t="shared" si="1"/>
        <v>2</v>
      </c>
      <c r="X8" s="30">
        <f t="shared" si="1"/>
        <v>4</v>
      </c>
      <c r="Y8" s="30">
        <f t="shared" si="1"/>
        <v>4</v>
      </c>
      <c r="Z8" s="30">
        <f t="shared" si="2"/>
        <v>4</v>
      </c>
      <c r="AA8" s="31">
        <f t="shared" si="2"/>
        <v>4</v>
      </c>
      <c r="AB8" s="29">
        <f t="shared" si="2"/>
        <v>4</v>
      </c>
      <c r="AC8" s="30">
        <f t="shared" si="2"/>
        <v>4</v>
      </c>
      <c r="AD8" s="30">
        <f t="shared" si="2"/>
        <v>4</v>
      </c>
      <c r="AE8" s="30">
        <f t="shared" si="2"/>
        <v>4</v>
      </c>
      <c r="AF8" s="30">
        <f t="shared" si="2"/>
        <v>4</v>
      </c>
      <c r="AG8" s="30">
        <f t="shared" si="2"/>
        <v>4</v>
      </c>
      <c r="AH8" s="30">
        <f t="shared" si="2"/>
        <v>6</v>
      </c>
      <c r="AI8" s="30">
        <f t="shared" si="2"/>
        <v>4</v>
      </c>
      <c r="AJ8" s="30">
        <f t="shared" si="3"/>
        <v>4</v>
      </c>
      <c r="AK8" s="30">
        <f t="shared" si="3"/>
        <v>4</v>
      </c>
      <c r="AL8" s="30">
        <f t="shared" si="3"/>
        <v>6</v>
      </c>
      <c r="AM8" s="30">
        <f t="shared" si="3"/>
        <v>4</v>
      </c>
      <c r="AN8" s="30">
        <f t="shared" si="3"/>
        <v>6</v>
      </c>
      <c r="AO8" s="30">
        <f t="shared" si="3"/>
        <v>6</v>
      </c>
      <c r="AP8" s="30">
        <f t="shared" si="3"/>
        <v>4</v>
      </c>
      <c r="AQ8" s="30">
        <f t="shared" si="3"/>
        <v>6</v>
      </c>
      <c r="AR8" s="30">
        <f t="shared" si="3"/>
        <v>4</v>
      </c>
      <c r="AS8" s="30">
        <f t="shared" si="3"/>
        <v>4</v>
      </c>
      <c r="AT8" s="30">
        <f t="shared" si="4"/>
        <v>4</v>
      </c>
      <c r="AU8" s="30">
        <f t="shared" si="4"/>
        <v>4</v>
      </c>
      <c r="AV8" s="30">
        <f t="shared" si="4"/>
        <v>4</v>
      </c>
      <c r="AW8" s="30">
        <f t="shared" si="4"/>
        <v>4</v>
      </c>
      <c r="AX8" s="30">
        <f t="shared" si="4"/>
        <v>6</v>
      </c>
      <c r="AY8" s="30">
        <f t="shared" si="4"/>
        <v>4</v>
      </c>
      <c r="AZ8" s="30">
        <f t="shared" si="4"/>
        <v>4</v>
      </c>
      <c r="BA8" s="31">
        <f t="shared" si="4"/>
        <v>4</v>
      </c>
    </row>
    <row r="9" spans="1:53" ht="37.35" customHeight="1" x14ac:dyDescent="0.2">
      <c r="A9" s="28" t="s">
        <v>108</v>
      </c>
      <c r="B9" s="25"/>
      <c r="C9" s="25"/>
      <c r="D9" s="25"/>
      <c r="E9" s="27">
        <v>2</v>
      </c>
      <c r="F9" s="29">
        <f t="shared" si="0"/>
        <v>6</v>
      </c>
      <c r="G9" s="30">
        <f t="shared" si="0"/>
        <v>2</v>
      </c>
      <c r="H9" s="30">
        <f t="shared" si="0"/>
        <v>4</v>
      </c>
      <c r="I9" s="30">
        <f t="shared" si="0"/>
        <v>8</v>
      </c>
      <c r="J9" s="30">
        <f t="shared" si="0"/>
        <v>8</v>
      </c>
      <c r="K9" s="30">
        <f t="shared" si="0"/>
        <v>8</v>
      </c>
      <c r="L9" s="30">
        <f t="shared" si="0"/>
        <v>2</v>
      </c>
      <c r="M9" s="30">
        <f t="shared" si="0"/>
        <v>8</v>
      </c>
      <c r="N9" s="30">
        <f t="shared" si="0"/>
        <v>4</v>
      </c>
      <c r="O9" s="30">
        <f t="shared" si="0"/>
        <v>6</v>
      </c>
      <c r="P9" s="30">
        <f t="shared" si="1"/>
        <v>6</v>
      </c>
      <c r="Q9" s="30">
        <f t="shared" si="1"/>
        <v>4</v>
      </c>
      <c r="R9" s="31">
        <f t="shared" si="1"/>
        <v>6</v>
      </c>
      <c r="S9" s="29">
        <f t="shared" si="1"/>
        <v>4</v>
      </c>
      <c r="T9" s="30">
        <f t="shared" si="1"/>
        <v>4</v>
      </c>
      <c r="U9" s="30">
        <f t="shared" si="1"/>
        <v>6</v>
      </c>
      <c r="V9" s="30">
        <f t="shared" si="1"/>
        <v>2</v>
      </c>
      <c r="W9" s="30">
        <f t="shared" si="1"/>
        <v>2</v>
      </c>
      <c r="X9" s="30">
        <f t="shared" si="1"/>
        <v>4</v>
      </c>
      <c r="Y9" s="30">
        <f t="shared" si="1"/>
        <v>4</v>
      </c>
      <c r="Z9" s="30">
        <f t="shared" si="2"/>
        <v>4</v>
      </c>
      <c r="AA9" s="31">
        <f t="shared" si="2"/>
        <v>4</v>
      </c>
      <c r="AB9" s="29">
        <f t="shared" si="2"/>
        <v>4</v>
      </c>
      <c r="AC9" s="30">
        <f t="shared" si="2"/>
        <v>4</v>
      </c>
      <c r="AD9" s="30">
        <f t="shared" si="2"/>
        <v>4</v>
      </c>
      <c r="AE9" s="30">
        <f t="shared" si="2"/>
        <v>4</v>
      </c>
      <c r="AF9" s="30">
        <f t="shared" si="2"/>
        <v>4</v>
      </c>
      <c r="AG9" s="30">
        <f t="shared" si="2"/>
        <v>4</v>
      </c>
      <c r="AH9" s="30">
        <f t="shared" si="2"/>
        <v>6</v>
      </c>
      <c r="AI9" s="30">
        <f t="shared" si="2"/>
        <v>4</v>
      </c>
      <c r="AJ9" s="30">
        <f t="shared" si="3"/>
        <v>4</v>
      </c>
      <c r="AK9" s="30">
        <f t="shared" si="3"/>
        <v>4</v>
      </c>
      <c r="AL9" s="30">
        <f t="shared" si="3"/>
        <v>6</v>
      </c>
      <c r="AM9" s="30">
        <f t="shared" si="3"/>
        <v>4</v>
      </c>
      <c r="AN9" s="30">
        <f t="shared" si="3"/>
        <v>6</v>
      </c>
      <c r="AO9" s="30">
        <f t="shared" si="3"/>
        <v>6</v>
      </c>
      <c r="AP9" s="30">
        <f t="shared" si="3"/>
        <v>4</v>
      </c>
      <c r="AQ9" s="30">
        <f t="shared" si="3"/>
        <v>6</v>
      </c>
      <c r="AR9" s="30">
        <f t="shared" si="3"/>
        <v>4</v>
      </c>
      <c r="AS9" s="30">
        <f t="shared" si="3"/>
        <v>4</v>
      </c>
      <c r="AT9" s="30">
        <f t="shared" si="4"/>
        <v>4</v>
      </c>
      <c r="AU9" s="30">
        <f t="shared" si="4"/>
        <v>4</v>
      </c>
      <c r="AV9" s="30">
        <f t="shared" si="4"/>
        <v>4</v>
      </c>
      <c r="AW9" s="30">
        <f t="shared" si="4"/>
        <v>4</v>
      </c>
      <c r="AX9" s="30">
        <f t="shared" si="4"/>
        <v>6</v>
      </c>
      <c r="AY9" s="30">
        <f t="shared" si="4"/>
        <v>4</v>
      </c>
      <c r="AZ9" s="30">
        <f t="shared" si="4"/>
        <v>4</v>
      </c>
      <c r="BA9" s="31">
        <f t="shared" si="4"/>
        <v>4</v>
      </c>
    </row>
    <row r="10" spans="1:53" ht="37.35" customHeight="1" x14ac:dyDescent="0.2">
      <c r="A10" s="28" t="s">
        <v>109</v>
      </c>
      <c r="B10" s="25"/>
      <c r="C10" s="25"/>
      <c r="D10" s="25"/>
      <c r="E10" s="27">
        <v>1</v>
      </c>
      <c r="F10" s="29">
        <f t="shared" si="0"/>
        <v>3</v>
      </c>
      <c r="G10" s="30">
        <f t="shared" si="0"/>
        <v>1</v>
      </c>
      <c r="H10" s="30">
        <f t="shared" si="0"/>
        <v>2</v>
      </c>
      <c r="I10" s="30">
        <f t="shared" si="0"/>
        <v>4</v>
      </c>
      <c r="J10" s="30">
        <f t="shared" si="0"/>
        <v>4</v>
      </c>
      <c r="K10" s="30">
        <f t="shared" si="0"/>
        <v>4</v>
      </c>
      <c r="L10" s="30">
        <f t="shared" si="0"/>
        <v>1</v>
      </c>
      <c r="M10" s="30">
        <f t="shared" si="0"/>
        <v>4</v>
      </c>
      <c r="N10" s="30">
        <f t="shared" si="0"/>
        <v>2</v>
      </c>
      <c r="O10" s="30">
        <f t="shared" si="0"/>
        <v>3</v>
      </c>
      <c r="P10" s="30">
        <f t="shared" si="1"/>
        <v>3</v>
      </c>
      <c r="Q10" s="30">
        <f t="shared" si="1"/>
        <v>2</v>
      </c>
      <c r="R10" s="31">
        <f t="shared" si="1"/>
        <v>3</v>
      </c>
      <c r="S10" s="29">
        <f t="shared" si="1"/>
        <v>2</v>
      </c>
      <c r="T10" s="30">
        <f t="shared" si="1"/>
        <v>2</v>
      </c>
      <c r="U10" s="30">
        <f t="shared" si="1"/>
        <v>3</v>
      </c>
      <c r="V10" s="30">
        <f t="shared" si="1"/>
        <v>1</v>
      </c>
      <c r="W10" s="30">
        <f t="shared" si="1"/>
        <v>1</v>
      </c>
      <c r="X10" s="30">
        <f t="shared" si="1"/>
        <v>2</v>
      </c>
      <c r="Y10" s="30">
        <f t="shared" si="1"/>
        <v>2</v>
      </c>
      <c r="Z10" s="30">
        <f t="shared" si="2"/>
        <v>2</v>
      </c>
      <c r="AA10" s="31">
        <f t="shared" si="2"/>
        <v>2</v>
      </c>
      <c r="AB10" s="29">
        <f t="shared" si="2"/>
        <v>2</v>
      </c>
      <c r="AC10" s="30">
        <f t="shared" si="2"/>
        <v>2</v>
      </c>
      <c r="AD10" s="30">
        <f t="shared" si="2"/>
        <v>2</v>
      </c>
      <c r="AE10" s="30">
        <f t="shared" si="2"/>
        <v>2</v>
      </c>
      <c r="AF10" s="30">
        <f t="shared" si="2"/>
        <v>2</v>
      </c>
      <c r="AG10" s="30">
        <f t="shared" si="2"/>
        <v>2</v>
      </c>
      <c r="AH10" s="30">
        <f t="shared" si="2"/>
        <v>3</v>
      </c>
      <c r="AI10" s="30">
        <f t="shared" si="2"/>
        <v>2</v>
      </c>
      <c r="AJ10" s="30">
        <f t="shared" si="3"/>
        <v>2</v>
      </c>
      <c r="AK10" s="30">
        <f t="shared" si="3"/>
        <v>2</v>
      </c>
      <c r="AL10" s="30">
        <f t="shared" si="3"/>
        <v>3</v>
      </c>
      <c r="AM10" s="30">
        <f t="shared" si="3"/>
        <v>2</v>
      </c>
      <c r="AN10" s="30">
        <f t="shared" si="3"/>
        <v>3</v>
      </c>
      <c r="AO10" s="30">
        <f t="shared" si="3"/>
        <v>3</v>
      </c>
      <c r="AP10" s="30">
        <f t="shared" si="3"/>
        <v>2</v>
      </c>
      <c r="AQ10" s="30">
        <f t="shared" si="3"/>
        <v>3</v>
      </c>
      <c r="AR10" s="30">
        <f t="shared" si="3"/>
        <v>2</v>
      </c>
      <c r="AS10" s="30">
        <f t="shared" si="3"/>
        <v>2</v>
      </c>
      <c r="AT10" s="30">
        <f t="shared" si="4"/>
        <v>2</v>
      </c>
      <c r="AU10" s="30">
        <f t="shared" si="4"/>
        <v>2</v>
      </c>
      <c r="AV10" s="30">
        <f t="shared" si="4"/>
        <v>2</v>
      </c>
      <c r="AW10" s="30">
        <f t="shared" si="4"/>
        <v>2</v>
      </c>
      <c r="AX10" s="30">
        <f t="shared" si="4"/>
        <v>3</v>
      </c>
      <c r="AY10" s="30">
        <f t="shared" si="4"/>
        <v>2</v>
      </c>
      <c r="AZ10" s="30">
        <f t="shared" si="4"/>
        <v>2</v>
      </c>
      <c r="BA10" s="31">
        <f t="shared" si="4"/>
        <v>2</v>
      </c>
    </row>
    <row r="11" spans="1:53" ht="37.35" customHeight="1" x14ac:dyDescent="0.2">
      <c r="A11" s="28" t="s">
        <v>110</v>
      </c>
      <c r="B11" s="25"/>
      <c r="C11" s="25"/>
      <c r="D11" s="25"/>
      <c r="E11" s="27">
        <v>2</v>
      </c>
      <c r="F11" s="29">
        <f t="shared" si="0"/>
        <v>6</v>
      </c>
      <c r="G11" s="30">
        <f t="shared" si="0"/>
        <v>2</v>
      </c>
      <c r="H11" s="30">
        <f t="shared" si="0"/>
        <v>4</v>
      </c>
      <c r="I11" s="30">
        <f t="shared" si="0"/>
        <v>8</v>
      </c>
      <c r="J11" s="30">
        <f t="shared" si="0"/>
        <v>8</v>
      </c>
      <c r="K11" s="30">
        <f t="shared" si="0"/>
        <v>8</v>
      </c>
      <c r="L11" s="30">
        <f t="shared" si="0"/>
        <v>2</v>
      </c>
      <c r="M11" s="30">
        <f t="shared" si="0"/>
        <v>8</v>
      </c>
      <c r="N11" s="30">
        <f t="shared" si="0"/>
        <v>4</v>
      </c>
      <c r="O11" s="30">
        <f t="shared" si="0"/>
        <v>6</v>
      </c>
      <c r="P11" s="30">
        <f t="shared" si="1"/>
        <v>6</v>
      </c>
      <c r="Q11" s="30">
        <f t="shared" si="1"/>
        <v>4</v>
      </c>
      <c r="R11" s="31">
        <f t="shared" si="1"/>
        <v>6</v>
      </c>
      <c r="S11" s="29">
        <f t="shared" si="1"/>
        <v>4</v>
      </c>
      <c r="T11" s="30">
        <f t="shared" si="1"/>
        <v>4</v>
      </c>
      <c r="U11" s="30">
        <f t="shared" si="1"/>
        <v>6</v>
      </c>
      <c r="V11" s="30">
        <f t="shared" si="1"/>
        <v>2</v>
      </c>
      <c r="W11" s="30">
        <f t="shared" si="1"/>
        <v>2</v>
      </c>
      <c r="X11" s="30">
        <f t="shared" si="1"/>
        <v>4</v>
      </c>
      <c r="Y11" s="30">
        <f t="shared" si="1"/>
        <v>4</v>
      </c>
      <c r="Z11" s="30">
        <f t="shared" si="2"/>
        <v>4</v>
      </c>
      <c r="AA11" s="31">
        <f t="shared" si="2"/>
        <v>4</v>
      </c>
      <c r="AB11" s="29">
        <f t="shared" si="2"/>
        <v>4</v>
      </c>
      <c r="AC11" s="30">
        <f t="shared" si="2"/>
        <v>4</v>
      </c>
      <c r="AD11" s="30">
        <f t="shared" si="2"/>
        <v>4</v>
      </c>
      <c r="AE11" s="30">
        <f t="shared" si="2"/>
        <v>4</v>
      </c>
      <c r="AF11" s="30">
        <f t="shared" si="2"/>
        <v>4</v>
      </c>
      <c r="AG11" s="30">
        <f t="shared" si="2"/>
        <v>4</v>
      </c>
      <c r="AH11" s="30">
        <f t="shared" si="2"/>
        <v>6</v>
      </c>
      <c r="AI11" s="30">
        <f t="shared" si="2"/>
        <v>4</v>
      </c>
      <c r="AJ11" s="30">
        <f t="shared" si="3"/>
        <v>4</v>
      </c>
      <c r="AK11" s="30">
        <f t="shared" si="3"/>
        <v>4</v>
      </c>
      <c r="AL11" s="30">
        <f t="shared" si="3"/>
        <v>6</v>
      </c>
      <c r="AM11" s="30">
        <f t="shared" si="3"/>
        <v>4</v>
      </c>
      <c r="AN11" s="30">
        <f t="shared" si="3"/>
        <v>6</v>
      </c>
      <c r="AO11" s="30">
        <f t="shared" si="3"/>
        <v>6</v>
      </c>
      <c r="AP11" s="30">
        <f t="shared" si="3"/>
        <v>4</v>
      </c>
      <c r="AQ11" s="30">
        <f t="shared" si="3"/>
        <v>6</v>
      </c>
      <c r="AR11" s="30">
        <f t="shared" si="3"/>
        <v>4</v>
      </c>
      <c r="AS11" s="30">
        <f t="shared" si="3"/>
        <v>4</v>
      </c>
      <c r="AT11" s="30">
        <f t="shared" si="4"/>
        <v>4</v>
      </c>
      <c r="AU11" s="30">
        <f t="shared" si="4"/>
        <v>4</v>
      </c>
      <c r="AV11" s="30">
        <f t="shared" si="4"/>
        <v>4</v>
      </c>
      <c r="AW11" s="30">
        <f t="shared" si="4"/>
        <v>4</v>
      </c>
      <c r="AX11" s="30">
        <f t="shared" si="4"/>
        <v>6</v>
      </c>
      <c r="AY11" s="30">
        <f t="shared" si="4"/>
        <v>4</v>
      </c>
      <c r="AZ11" s="30">
        <f t="shared" si="4"/>
        <v>4</v>
      </c>
      <c r="BA11" s="31">
        <f t="shared" si="4"/>
        <v>4</v>
      </c>
    </row>
    <row r="12" spans="1:53" ht="37.35" customHeight="1" x14ac:dyDescent="0.2">
      <c r="A12" s="28" t="s">
        <v>111</v>
      </c>
      <c r="B12" s="25"/>
      <c r="C12" s="25"/>
      <c r="D12" s="25"/>
      <c r="E12" s="27">
        <v>1</v>
      </c>
      <c r="F12" s="29">
        <f t="shared" si="0"/>
        <v>3</v>
      </c>
      <c r="G12" s="30">
        <f t="shared" si="0"/>
        <v>1</v>
      </c>
      <c r="H12" s="30">
        <f t="shared" si="0"/>
        <v>2</v>
      </c>
      <c r="I12" s="30">
        <f t="shared" si="0"/>
        <v>4</v>
      </c>
      <c r="J12" s="30">
        <f t="shared" si="0"/>
        <v>4</v>
      </c>
      <c r="K12" s="30">
        <f t="shared" si="0"/>
        <v>4</v>
      </c>
      <c r="L12" s="30">
        <f t="shared" si="0"/>
        <v>1</v>
      </c>
      <c r="M12" s="30">
        <f t="shared" si="0"/>
        <v>4</v>
      </c>
      <c r="N12" s="30">
        <f t="shared" si="0"/>
        <v>2</v>
      </c>
      <c r="O12" s="30">
        <f t="shared" si="0"/>
        <v>3</v>
      </c>
      <c r="P12" s="30">
        <f t="shared" si="1"/>
        <v>3</v>
      </c>
      <c r="Q12" s="30">
        <f t="shared" si="1"/>
        <v>2</v>
      </c>
      <c r="R12" s="31">
        <f t="shared" si="1"/>
        <v>3</v>
      </c>
      <c r="S12" s="29">
        <f t="shared" si="1"/>
        <v>2</v>
      </c>
      <c r="T12" s="30">
        <f t="shared" si="1"/>
        <v>2</v>
      </c>
      <c r="U12" s="30">
        <f t="shared" si="1"/>
        <v>3</v>
      </c>
      <c r="V12" s="30">
        <f t="shared" si="1"/>
        <v>1</v>
      </c>
      <c r="W12" s="30">
        <f t="shared" si="1"/>
        <v>1</v>
      </c>
      <c r="X12" s="30">
        <f t="shared" si="1"/>
        <v>2</v>
      </c>
      <c r="Y12" s="30">
        <f t="shared" si="1"/>
        <v>2</v>
      </c>
      <c r="Z12" s="30">
        <f t="shared" si="2"/>
        <v>2</v>
      </c>
      <c r="AA12" s="31">
        <f t="shared" si="2"/>
        <v>2</v>
      </c>
      <c r="AB12" s="29">
        <f t="shared" si="2"/>
        <v>2</v>
      </c>
      <c r="AC12" s="30">
        <f t="shared" si="2"/>
        <v>2</v>
      </c>
      <c r="AD12" s="30">
        <f t="shared" si="2"/>
        <v>2</v>
      </c>
      <c r="AE12" s="30">
        <f t="shared" si="2"/>
        <v>2</v>
      </c>
      <c r="AF12" s="30">
        <f t="shared" si="2"/>
        <v>2</v>
      </c>
      <c r="AG12" s="30">
        <f t="shared" si="2"/>
        <v>2</v>
      </c>
      <c r="AH12" s="30">
        <f t="shared" si="2"/>
        <v>3</v>
      </c>
      <c r="AI12" s="30">
        <f t="shared" si="2"/>
        <v>2</v>
      </c>
      <c r="AJ12" s="30">
        <f t="shared" si="3"/>
        <v>2</v>
      </c>
      <c r="AK12" s="30">
        <f t="shared" si="3"/>
        <v>2</v>
      </c>
      <c r="AL12" s="30">
        <f t="shared" si="3"/>
        <v>3</v>
      </c>
      <c r="AM12" s="30">
        <f t="shared" si="3"/>
        <v>2</v>
      </c>
      <c r="AN12" s="30">
        <f t="shared" si="3"/>
        <v>3</v>
      </c>
      <c r="AO12" s="30">
        <f t="shared" si="3"/>
        <v>3</v>
      </c>
      <c r="AP12" s="30">
        <f t="shared" si="3"/>
        <v>2</v>
      </c>
      <c r="AQ12" s="30">
        <f t="shared" si="3"/>
        <v>3</v>
      </c>
      <c r="AR12" s="30">
        <f t="shared" si="3"/>
        <v>2</v>
      </c>
      <c r="AS12" s="30">
        <f t="shared" si="3"/>
        <v>2</v>
      </c>
      <c r="AT12" s="30">
        <f t="shared" si="4"/>
        <v>2</v>
      </c>
      <c r="AU12" s="30">
        <f t="shared" si="4"/>
        <v>2</v>
      </c>
      <c r="AV12" s="30">
        <f t="shared" si="4"/>
        <v>2</v>
      </c>
      <c r="AW12" s="30">
        <f t="shared" si="4"/>
        <v>2</v>
      </c>
      <c r="AX12" s="30">
        <f t="shared" si="4"/>
        <v>3</v>
      </c>
      <c r="AY12" s="30">
        <f t="shared" si="4"/>
        <v>2</v>
      </c>
      <c r="AZ12" s="30">
        <f t="shared" si="4"/>
        <v>2</v>
      </c>
      <c r="BA12" s="31">
        <f t="shared" si="4"/>
        <v>2</v>
      </c>
    </row>
    <row r="13" spans="1:53" ht="37.35" customHeight="1" x14ac:dyDescent="0.2">
      <c r="A13" s="28" t="s">
        <v>112</v>
      </c>
      <c r="B13" s="25"/>
      <c r="C13" s="25"/>
      <c r="D13" s="25"/>
      <c r="E13" s="27">
        <v>2</v>
      </c>
      <c r="F13" s="29">
        <f t="shared" si="0"/>
        <v>6</v>
      </c>
      <c r="G13" s="30">
        <f t="shared" si="0"/>
        <v>2</v>
      </c>
      <c r="H13" s="30">
        <f t="shared" si="0"/>
        <v>4</v>
      </c>
      <c r="I13" s="30">
        <f t="shared" si="0"/>
        <v>8</v>
      </c>
      <c r="J13" s="30">
        <f t="shared" si="0"/>
        <v>8</v>
      </c>
      <c r="K13" s="30">
        <f t="shared" si="0"/>
        <v>8</v>
      </c>
      <c r="L13" s="30">
        <f t="shared" si="0"/>
        <v>2</v>
      </c>
      <c r="M13" s="30">
        <f t="shared" si="0"/>
        <v>8</v>
      </c>
      <c r="N13" s="30">
        <f t="shared" si="0"/>
        <v>4</v>
      </c>
      <c r="O13" s="30">
        <f t="shared" si="0"/>
        <v>6</v>
      </c>
      <c r="P13" s="30">
        <f t="shared" si="1"/>
        <v>6</v>
      </c>
      <c r="Q13" s="30">
        <f t="shared" si="1"/>
        <v>4</v>
      </c>
      <c r="R13" s="31">
        <f t="shared" si="1"/>
        <v>6</v>
      </c>
      <c r="S13" s="29">
        <f t="shared" si="1"/>
        <v>4</v>
      </c>
      <c r="T13" s="30">
        <f t="shared" si="1"/>
        <v>4</v>
      </c>
      <c r="U13" s="30">
        <f t="shared" si="1"/>
        <v>6</v>
      </c>
      <c r="V13" s="30">
        <f t="shared" si="1"/>
        <v>2</v>
      </c>
      <c r="W13" s="30">
        <f t="shared" si="1"/>
        <v>2</v>
      </c>
      <c r="X13" s="30">
        <f t="shared" si="1"/>
        <v>4</v>
      </c>
      <c r="Y13" s="30">
        <f t="shared" si="1"/>
        <v>4</v>
      </c>
      <c r="Z13" s="30">
        <f t="shared" si="2"/>
        <v>4</v>
      </c>
      <c r="AA13" s="31">
        <f t="shared" si="2"/>
        <v>4</v>
      </c>
      <c r="AB13" s="29">
        <f t="shared" si="2"/>
        <v>4</v>
      </c>
      <c r="AC13" s="30">
        <f t="shared" si="2"/>
        <v>4</v>
      </c>
      <c r="AD13" s="30">
        <f t="shared" si="2"/>
        <v>4</v>
      </c>
      <c r="AE13" s="30">
        <f t="shared" si="2"/>
        <v>4</v>
      </c>
      <c r="AF13" s="30">
        <f t="shared" si="2"/>
        <v>4</v>
      </c>
      <c r="AG13" s="30">
        <f t="shared" si="2"/>
        <v>4</v>
      </c>
      <c r="AH13" s="30">
        <f t="shared" si="2"/>
        <v>6</v>
      </c>
      <c r="AI13" s="30">
        <f t="shared" si="2"/>
        <v>4</v>
      </c>
      <c r="AJ13" s="30">
        <f t="shared" si="3"/>
        <v>4</v>
      </c>
      <c r="AK13" s="30">
        <f t="shared" si="3"/>
        <v>4</v>
      </c>
      <c r="AL13" s="30">
        <f t="shared" si="3"/>
        <v>6</v>
      </c>
      <c r="AM13" s="30">
        <f t="shared" si="3"/>
        <v>4</v>
      </c>
      <c r="AN13" s="30">
        <f t="shared" si="3"/>
        <v>6</v>
      </c>
      <c r="AO13" s="30">
        <f t="shared" si="3"/>
        <v>6</v>
      </c>
      <c r="AP13" s="30">
        <f t="shared" si="3"/>
        <v>4</v>
      </c>
      <c r="AQ13" s="30">
        <f t="shared" si="3"/>
        <v>6</v>
      </c>
      <c r="AR13" s="30">
        <f t="shared" si="3"/>
        <v>4</v>
      </c>
      <c r="AS13" s="30">
        <f t="shared" si="3"/>
        <v>4</v>
      </c>
      <c r="AT13" s="30">
        <f t="shared" si="4"/>
        <v>4</v>
      </c>
      <c r="AU13" s="30">
        <f t="shared" si="4"/>
        <v>4</v>
      </c>
      <c r="AV13" s="30">
        <f t="shared" si="4"/>
        <v>4</v>
      </c>
      <c r="AW13" s="30">
        <f t="shared" si="4"/>
        <v>4</v>
      </c>
      <c r="AX13" s="30">
        <f t="shared" si="4"/>
        <v>6</v>
      </c>
      <c r="AY13" s="30">
        <f t="shared" si="4"/>
        <v>4</v>
      </c>
      <c r="AZ13" s="30">
        <f t="shared" si="4"/>
        <v>4</v>
      </c>
      <c r="BA13" s="31">
        <f t="shared" si="4"/>
        <v>4</v>
      </c>
    </row>
    <row r="14" spans="1:53" ht="37.35" customHeight="1" x14ac:dyDescent="0.2">
      <c r="A14" s="28" t="s">
        <v>113</v>
      </c>
      <c r="B14" s="25"/>
      <c r="C14" s="25"/>
      <c r="D14" s="25"/>
      <c r="E14" s="27">
        <v>1</v>
      </c>
      <c r="F14" s="29">
        <f t="shared" si="0"/>
        <v>3</v>
      </c>
      <c r="G14" s="30">
        <f t="shared" si="0"/>
        <v>1</v>
      </c>
      <c r="H14" s="30">
        <f t="shared" si="0"/>
        <v>2</v>
      </c>
      <c r="I14" s="30">
        <f t="shared" si="0"/>
        <v>4</v>
      </c>
      <c r="J14" s="30">
        <f t="shared" si="0"/>
        <v>4</v>
      </c>
      <c r="K14" s="30">
        <f t="shared" si="0"/>
        <v>4</v>
      </c>
      <c r="L14" s="30">
        <f t="shared" si="0"/>
        <v>1</v>
      </c>
      <c r="M14" s="30">
        <f t="shared" si="0"/>
        <v>4</v>
      </c>
      <c r="N14" s="30">
        <f t="shared" si="0"/>
        <v>2</v>
      </c>
      <c r="O14" s="30">
        <f t="shared" si="0"/>
        <v>3</v>
      </c>
      <c r="P14" s="30">
        <f t="shared" si="1"/>
        <v>3</v>
      </c>
      <c r="Q14" s="30">
        <f t="shared" si="1"/>
        <v>2</v>
      </c>
      <c r="R14" s="31">
        <f t="shared" si="1"/>
        <v>3</v>
      </c>
      <c r="S14" s="29">
        <f t="shared" si="1"/>
        <v>2</v>
      </c>
      <c r="T14" s="30">
        <f t="shared" si="1"/>
        <v>2</v>
      </c>
      <c r="U14" s="30">
        <f t="shared" si="1"/>
        <v>3</v>
      </c>
      <c r="V14" s="30">
        <f t="shared" si="1"/>
        <v>1</v>
      </c>
      <c r="W14" s="30">
        <f t="shared" si="1"/>
        <v>1</v>
      </c>
      <c r="X14" s="30">
        <f t="shared" si="1"/>
        <v>2</v>
      </c>
      <c r="Y14" s="30">
        <f t="shared" si="1"/>
        <v>2</v>
      </c>
      <c r="Z14" s="30">
        <f t="shared" si="2"/>
        <v>2</v>
      </c>
      <c r="AA14" s="31">
        <f t="shared" si="2"/>
        <v>2</v>
      </c>
      <c r="AB14" s="29">
        <f t="shared" si="2"/>
        <v>2</v>
      </c>
      <c r="AC14" s="30">
        <f t="shared" si="2"/>
        <v>2</v>
      </c>
      <c r="AD14" s="30">
        <f t="shared" si="2"/>
        <v>2</v>
      </c>
      <c r="AE14" s="30">
        <f t="shared" si="2"/>
        <v>2</v>
      </c>
      <c r="AF14" s="30">
        <f t="shared" si="2"/>
        <v>2</v>
      </c>
      <c r="AG14" s="30">
        <f t="shared" si="2"/>
        <v>2</v>
      </c>
      <c r="AH14" s="30">
        <f t="shared" si="2"/>
        <v>3</v>
      </c>
      <c r="AI14" s="30">
        <f t="shared" si="2"/>
        <v>2</v>
      </c>
      <c r="AJ14" s="30">
        <f t="shared" si="3"/>
        <v>2</v>
      </c>
      <c r="AK14" s="30">
        <f t="shared" si="3"/>
        <v>2</v>
      </c>
      <c r="AL14" s="30">
        <f t="shared" si="3"/>
        <v>3</v>
      </c>
      <c r="AM14" s="30">
        <f t="shared" si="3"/>
        <v>2</v>
      </c>
      <c r="AN14" s="30">
        <f t="shared" si="3"/>
        <v>3</v>
      </c>
      <c r="AO14" s="30">
        <f t="shared" si="3"/>
        <v>3</v>
      </c>
      <c r="AP14" s="30">
        <f t="shared" si="3"/>
        <v>2</v>
      </c>
      <c r="AQ14" s="30">
        <f t="shared" si="3"/>
        <v>3</v>
      </c>
      <c r="AR14" s="30">
        <f t="shared" si="3"/>
        <v>2</v>
      </c>
      <c r="AS14" s="30">
        <f t="shared" si="3"/>
        <v>2</v>
      </c>
      <c r="AT14" s="30">
        <f t="shared" si="4"/>
        <v>2</v>
      </c>
      <c r="AU14" s="30">
        <f t="shared" si="4"/>
        <v>2</v>
      </c>
      <c r="AV14" s="30">
        <f t="shared" si="4"/>
        <v>2</v>
      </c>
      <c r="AW14" s="30">
        <f t="shared" si="4"/>
        <v>2</v>
      </c>
      <c r="AX14" s="30">
        <f t="shared" si="4"/>
        <v>3</v>
      </c>
      <c r="AY14" s="30">
        <f t="shared" si="4"/>
        <v>2</v>
      </c>
      <c r="AZ14" s="30">
        <f t="shared" si="4"/>
        <v>2</v>
      </c>
      <c r="BA14" s="31">
        <f t="shared" si="4"/>
        <v>2</v>
      </c>
    </row>
    <row r="15" spans="1:53" ht="37.35" customHeight="1" x14ac:dyDescent="0.2">
      <c r="A15" s="28" t="s">
        <v>114</v>
      </c>
      <c r="B15" s="25"/>
      <c r="C15" s="25"/>
      <c r="D15" s="25"/>
      <c r="E15" s="27">
        <v>1</v>
      </c>
      <c r="F15" s="29">
        <f t="shared" si="0"/>
        <v>3</v>
      </c>
      <c r="G15" s="30">
        <f t="shared" si="0"/>
        <v>1</v>
      </c>
      <c r="H15" s="30">
        <f t="shared" si="0"/>
        <v>2</v>
      </c>
      <c r="I15" s="30">
        <f t="shared" si="0"/>
        <v>4</v>
      </c>
      <c r="J15" s="30">
        <f t="shared" si="0"/>
        <v>4</v>
      </c>
      <c r="K15" s="30">
        <f t="shared" si="0"/>
        <v>4</v>
      </c>
      <c r="L15" s="30">
        <f t="shared" si="0"/>
        <v>1</v>
      </c>
      <c r="M15" s="30">
        <f t="shared" si="0"/>
        <v>4</v>
      </c>
      <c r="N15" s="30">
        <f t="shared" si="0"/>
        <v>2</v>
      </c>
      <c r="O15" s="30">
        <f t="shared" si="0"/>
        <v>3</v>
      </c>
      <c r="P15" s="30">
        <f t="shared" si="1"/>
        <v>3</v>
      </c>
      <c r="Q15" s="30">
        <f t="shared" si="1"/>
        <v>2</v>
      </c>
      <c r="R15" s="31">
        <f t="shared" si="1"/>
        <v>3</v>
      </c>
      <c r="S15" s="29">
        <f t="shared" si="1"/>
        <v>2</v>
      </c>
      <c r="T15" s="30">
        <f t="shared" si="1"/>
        <v>2</v>
      </c>
      <c r="U15" s="30">
        <f t="shared" si="1"/>
        <v>3</v>
      </c>
      <c r="V15" s="30">
        <f t="shared" si="1"/>
        <v>1</v>
      </c>
      <c r="W15" s="30">
        <f t="shared" si="1"/>
        <v>1</v>
      </c>
      <c r="X15" s="30">
        <f t="shared" si="1"/>
        <v>2</v>
      </c>
      <c r="Y15" s="30">
        <f t="shared" si="1"/>
        <v>2</v>
      </c>
      <c r="Z15" s="30">
        <f t="shared" si="2"/>
        <v>2</v>
      </c>
      <c r="AA15" s="31">
        <f t="shared" si="2"/>
        <v>2</v>
      </c>
      <c r="AB15" s="29">
        <f t="shared" si="2"/>
        <v>2</v>
      </c>
      <c r="AC15" s="30">
        <f t="shared" si="2"/>
        <v>2</v>
      </c>
      <c r="AD15" s="30">
        <f t="shared" si="2"/>
        <v>2</v>
      </c>
      <c r="AE15" s="30">
        <f t="shared" si="2"/>
        <v>2</v>
      </c>
      <c r="AF15" s="30">
        <f t="shared" si="2"/>
        <v>2</v>
      </c>
      <c r="AG15" s="30">
        <f t="shared" si="2"/>
        <v>2</v>
      </c>
      <c r="AH15" s="30">
        <f t="shared" si="2"/>
        <v>3</v>
      </c>
      <c r="AI15" s="30">
        <f t="shared" si="2"/>
        <v>2</v>
      </c>
      <c r="AJ15" s="30">
        <f t="shared" si="3"/>
        <v>2</v>
      </c>
      <c r="AK15" s="30">
        <f t="shared" si="3"/>
        <v>2</v>
      </c>
      <c r="AL15" s="30">
        <f t="shared" si="3"/>
        <v>3</v>
      </c>
      <c r="AM15" s="30">
        <f t="shared" si="3"/>
        <v>2</v>
      </c>
      <c r="AN15" s="30">
        <f t="shared" si="3"/>
        <v>3</v>
      </c>
      <c r="AO15" s="30">
        <f t="shared" si="3"/>
        <v>3</v>
      </c>
      <c r="AP15" s="30">
        <f t="shared" si="3"/>
        <v>2</v>
      </c>
      <c r="AQ15" s="30">
        <f t="shared" si="3"/>
        <v>3</v>
      </c>
      <c r="AR15" s="30">
        <f t="shared" si="3"/>
        <v>2</v>
      </c>
      <c r="AS15" s="30">
        <f t="shared" si="3"/>
        <v>2</v>
      </c>
      <c r="AT15" s="30">
        <f t="shared" si="4"/>
        <v>2</v>
      </c>
      <c r="AU15" s="30">
        <f t="shared" si="4"/>
        <v>2</v>
      </c>
      <c r="AV15" s="30">
        <f t="shared" si="4"/>
        <v>2</v>
      </c>
      <c r="AW15" s="30">
        <f t="shared" si="4"/>
        <v>2</v>
      </c>
      <c r="AX15" s="30">
        <f t="shared" si="4"/>
        <v>3</v>
      </c>
      <c r="AY15" s="30">
        <f t="shared" si="4"/>
        <v>2</v>
      </c>
      <c r="AZ15" s="30">
        <f t="shared" si="4"/>
        <v>2</v>
      </c>
      <c r="BA15" s="31">
        <f t="shared" si="4"/>
        <v>2</v>
      </c>
    </row>
    <row r="16" spans="1:53" ht="37.35" customHeight="1" x14ac:dyDescent="0.2">
      <c r="A16" s="35" t="s">
        <v>115</v>
      </c>
      <c r="B16" s="36"/>
      <c r="C16" s="36"/>
      <c r="D16" s="36"/>
      <c r="E16" s="37">
        <v>2</v>
      </c>
      <c r="F16" s="38">
        <f t="shared" si="0"/>
        <v>6</v>
      </c>
      <c r="G16" s="39">
        <f t="shared" si="0"/>
        <v>2</v>
      </c>
      <c r="H16" s="39">
        <f t="shared" si="0"/>
        <v>4</v>
      </c>
      <c r="I16" s="39">
        <f t="shared" si="0"/>
        <v>8</v>
      </c>
      <c r="J16" s="39">
        <f t="shared" si="0"/>
        <v>8</v>
      </c>
      <c r="K16" s="39">
        <f t="shared" si="0"/>
        <v>8</v>
      </c>
      <c r="L16" s="39">
        <f t="shared" si="0"/>
        <v>2</v>
      </c>
      <c r="M16" s="39">
        <f t="shared" si="0"/>
        <v>8</v>
      </c>
      <c r="N16" s="39">
        <f t="shared" si="0"/>
        <v>4</v>
      </c>
      <c r="O16" s="39">
        <f t="shared" si="0"/>
        <v>6</v>
      </c>
      <c r="P16" s="39">
        <f t="shared" si="1"/>
        <v>6</v>
      </c>
      <c r="Q16" s="39">
        <f t="shared" si="1"/>
        <v>4</v>
      </c>
      <c r="R16" s="40">
        <f t="shared" si="1"/>
        <v>6</v>
      </c>
      <c r="S16" s="38">
        <f t="shared" si="1"/>
        <v>4</v>
      </c>
      <c r="T16" s="39">
        <f t="shared" si="1"/>
        <v>4</v>
      </c>
      <c r="U16" s="39">
        <f t="shared" si="1"/>
        <v>6</v>
      </c>
      <c r="V16" s="39">
        <f t="shared" si="1"/>
        <v>2</v>
      </c>
      <c r="W16" s="39">
        <f t="shared" si="1"/>
        <v>2</v>
      </c>
      <c r="X16" s="39">
        <f t="shared" si="1"/>
        <v>4</v>
      </c>
      <c r="Y16" s="39">
        <f t="shared" si="1"/>
        <v>4</v>
      </c>
      <c r="Z16" s="39">
        <f t="shared" si="2"/>
        <v>4</v>
      </c>
      <c r="AA16" s="40">
        <f t="shared" si="2"/>
        <v>4</v>
      </c>
      <c r="AB16" s="38">
        <f t="shared" si="2"/>
        <v>4</v>
      </c>
      <c r="AC16" s="39">
        <f t="shared" si="2"/>
        <v>4</v>
      </c>
      <c r="AD16" s="39">
        <f t="shared" si="2"/>
        <v>4</v>
      </c>
      <c r="AE16" s="39">
        <f t="shared" si="2"/>
        <v>4</v>
      </c>
      <c r="AF16" s="39">
        <f t="shared" si="2"/>
        <v>4</v>
      </c>
      <c r="AG16" s="39">
        <f t="shared" si="2"/>
        <v>4</v>
      </c>
      <c r="AH16" s="39">
        <f t="shared" si="2"/>
        <v>6</v>
      </c>
      <c r="AI16" s="39">
        <f t="shared" si="2"/>
        <v>4</v>
      </c>
      <c r="AJ16" s="39">
        <f t="shared" si="3"/>
        <v>4</v>
      </c>
      <c r="AK16" s="39">
        <f t="shared" si="3"/>
        <v>4</v>
      </c>
      <c r="AL16" s="39">
        <f t="shared" si="3"/>
        <v>6</v>
      </c>
      <c r="AM16" s="39">
        <f t="shared" si="3"/>
        <v>4</v>
      </c>
      <c r="AN16" s="39">
        <f t="shared" si="3"/>
        <v>6</v>
      </c>
      <c r="AO16" s="39">
        <f t="shared" si="3"/>
        <v>6</v>
      </c>
      <c r="AP16" s="39">
        <f t="shared" si="3"/>
        <v>4</v>
      </c>
      <c r="AQ16" s="39">
        <f t="shared" si="3"/>
        <v>6</v>
      </c>
      <c r="AR16" s="39">
        <f t="shared" si="3"/>
        <v>4</v>
      </c>
      <c r="AS16" s="39">
        <f t="shared" si="3"/>
        <v>4</v>
      </c>
      <c r="AT16" s="39">
        <f t="shared" si="4"/>
        <v>4</v>
      </c>
      <c r="AU16" s="39">
        <f t="shared" si="4"/>
        <v>4</v>
      </c>
      <c r="AV16" s="39">
        <f t="shared" si="4"/>
        <v>4</v>
      </c>
      <c r="AW16" s="39">
        <f t="shared" si="4"/>
        <v>4</v>
      </c>
      <c r="AX16" s="39">
        <f t="shared" si="4"/>
        <v>6</v>
      </c>
      <c r="AY16" s="39">
        <f t="shared" si="4"/>
        <v>4</v>
      </c>
      <c r="AZ16" s="39">
        <f t="shared" si="4"/>
        <v>4</v>
      </c>
      <c r="BA16" s="40">
        <f t="shared" si="4"/>
        <v>4</v>
      </c>
    </row>
  </sheetData>
  <sheetProtection sheet="1" objects="1" scenarios="1"/>
  <mergeCells count="5">
    <mergeCell ref="A2:A4"/>
    <mergeCell ref="E2:E4"/>
    <mergeCell ref="B3:B4"/>
    <mergeCell ref="C3:C4"/>
    <mergeCell ref="D3:D4"/>
  </mergeCells>
  <phoneticPr fontId="0" type="noConversion"/>
  <conditionalFormatting sqref="F5:BA16">
    <cfRule type="cellIs" dxfId="5" priority="1" stopIfTrue="1" operator="between">
      <formula>1</formula>
      <formula>6</formula>
    </cfRule>
    <cfRule type="cellIs" dxfId="4" priority="2" stopIfTrue="1" operator="between">
      <formula>8</formula>
      <formula>9</formula>
    </cfRule>
    <cfRule type="cellIs" dxfId="3" priority="3" stopIfTrue="1" operator="between">
      <formula>12</formula>
      <formula>16</formula>
    </cfRule>
  </conditionalFormatting>
  <dataValidations count="3">
    <dataValidation type="list" operator="equal" allowBlank="1" showErrorMessage="1" sqref="B5:D16" xr:uid="{00000000-0002-0000-0200-000000000000}">
      <formula1>"x"</formula1>
      <formula2>0</formula2>
    </dataValidation>
    <dataValidation operator="equal" allowBlank="1" showErrorMessage="1" sqref="F4:BA4" xr:uid="{00000000-0002-0000-0200-000001000000}">
      <formula1>0</formula1>
      <formula2>0</formula2>
    </dataValidation>
    <dataValidation type="list" operator="equal" allowBlank="1" showErrorMessage="1" sqref="E5:E16" xr:uid="{00000000-0002-0000-0200-000002000000}">
      <formula1>Escala</formula1>
      <formula2>0</formula2>
    </dataValidation>
  </dataValidations>
  <pageMargins left="0.39374999999999999" right="0.39374999999999999" top="0.63124999999999998" bottom="0.63124999999999998" header="0.39374999999999999" footer="0.39374999999999999"/>
  <pageSetup paperSize="5" firstPageNumber="0" orientation="landscape" horizontalDpi="300" verticalDpi="300"/>
  <headerFooter alignWithMargins="0">
    <oddHeader>&amp;L&amp;"Arial,Normal"&amp;F&amp;C&amp;"Arial,Normal"&amp;A</oddHeader>
    <oddFooter>&amp;C&amp;"Arial,Normal"Page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7"/>
  <sheetViews>
    <sheetView showGridLines="0" topLeftCell="B1" zoomScaleNormal="100" workbookViewId="0">
      <selection activeCell="D6" sqref="D6"/>
    </sheetView>
  </sheetViews>
  <sheetFormatPr baseColWidth="10" defaultColWidth="10" defaultRowHeight="12.6" x14ac:dyDescent="0.2"/>
  <cols>
    <col min="1" max="1" width="0" hidden="1" customWidth="1"/>
    <col min="2" max="2" width="18" customWidth="1"/>
    <col min="3" max="3" width="25.08984375" customWidth="1"/>
    <col min="4" max="6" width="22.36328125" customWidth="1"/>
  </cols>
  <sheetData>
    <row r="1" spans="1:6" ht="35.85" customHeight="1" x14ac:dyDescent="0.2">
      <c r="A1" s="41"/>
      <c r="B1" s="42" t="s">
        <v>116</v>
      </c>
      <c r="D1" s="41"/>
      <c r="E1" s="41"/>
      <c r="F1" s="41"/>
    </row>
    <row r="2" spans="1:6" ht="12.75" hidden="1" customHeight="1" x14ac:dyDescent="0.2">
      <c r="A2" s="41"/>
      <c r="B2" s="41"/>
      <c r="C2" s="43" t="s">
        <v>117</v>
      </c>
      <c r="D2" s="44">
        <f>AVERAGEA('1_Datos'!F4:R4)</f>
        <v>2.7692307692307692</v>
      </c>
      <c r="E2" s="44">
        <f>AVERAGEA('1_Datos'!S4:AA4)</f>
        <v>1.8888888888888888</v>
      </c>
      <c r="F2" s="44">
        <f>AVERAGEA('1_Datos'!AB4:BA4)</f>
        <v>2.2307692307692308</v>
      </c>
    </row>
    <row r="3" spans="1:6" ht="37.950000000000003" customHeight="1" x14ac:dyDescent="0.2">
      <c r="A3" s="41"/>
      <c r="B3" s="41"/>
      <c r="C3" s="41"/>
      <c r="D3" s="45" t="s">
        <v>118</v>
      </c>
      <c r="E3" s="46"/>
      <c r="F3" s="47"/>
    </row>
    <row r="4" spans="1:6" ht="56.7" customHeight="1" x14ac:dyDescent="0.2">
      <c r="A4" s="48" t="s">
        <v>117</v>
      </c>
      <c r="B4" s="49"/>
      <c r="C4" s="50"/>
      <c r="D4" s="51" t="s">
        <v>119</v>
      </c>
      <c r="E4" s="51" t="str">
        <f>'1_Datos'!S2</f>
        <v>Sucesos de origen físico</v>
      </c>
      <c r="F4" s="51" t="s">
        <v>120</v>
      </c>
    </row>
    <row r="5" spans="1:6" ht="56.7" customHeight="1" x14ac:dyDescent="0.2">
      <c r="A5" s="44">
        <f>AVERAGEA('1_Datos'!E5:E26)</f>
        <v>2.3636363636363638</v>
      </c>
      <c r="B5" s="52"/>
      <c r="C5" s="53" t="str">
        <f>'1_Datos'!A2</f>
        <v>Datos e Información</v>
      </c>
      <c r="D5" s="54">
        <f>AVERAGEA('1_Datos'!F5:R26)</f>
        <v>6.5454545454545459</v>
      </c>
      <c r="E5" s="54">
        <f>AVERAGEA('1_Datos'!S5:AA26)</f>
        <v>4.4646464646464645</v>
      </c>
      <c r="F5" s="54">
        <f>AVERAGEA('1_Datos'!AB5:BA26)</f>
        <v>5.2727272727272725</v>
      </c>
    </row>
    <row r="6" spans="1:6" ht="56.7" customHeight="1" x14ac:dyDescent="0.2">
      <c r="A6" s="44">
        <f>AVERAGEA('2_Sistemas'!E5:E20)</f>
        <v>2.4375</v>
      </c>
      <c r="B6" s="55" t="s">
        <v>121</v>
      </c>
      <c r="C6" s="53" t="str">
        <f>'2_Sistemas'!A2</f>
        <v>Sistemas e Infraestructura</v>
      </c>
      <c r="D6" s="54">
        <f>AVERAGEA('2_Sistemas'!F5:R20)</f>
        <v>6.75</v>
      </c>
      <c r="E6" s="54">
        <f>AVERAGEA('2_Sistemas'!S5:AA20)</f>
        <v>4.604166666666667</v>
      </c>
      <c r="F6" s="54">
        <f>AVERAGEA('2_Sistemas'!AB5:BA20)</f>
        <v>5.4375</v>
      </c>
    </row>
    <row r="7" spans="1:6" ht="56.7" customHeight="1" x14ac:dyDescent="0.2">
      <c r="A7" s="44">
        <f>AVERAGEA('3_Personal'!E5:E16)</f>
        <v>1.8333333333333333</v>
      </c>
      <c r="B7" s="56"/>
      <c r="C7" s="53" t="str">
        <f>'3_Personal'!A2</f>
        <v>Personal</v>
      </c>
      <c r="D7" s="54">
        <f>AVERAGEA('3_Personal'!F5:R16)</f>
        <v>5.0769230769230766</v>
      </c>
      <c r="E7" s="54">
        <f>AVERAGEA('3_Personal'!S5:AA16)</f>
        <v>3.4629629629629628</v>
      </c>
      <c r="F7" s="54">
        <f>AVERAGEA('3_Personal'!AB5:BA16)</f>
        <v>4.0897435897435894</v>
      </c>
    </row>
  </sheetData>
  <sheetProtection sheet="1" objects="1" scenarios="1"/>
  <phoneticPr fontId="0" type="noConversion"/>
  <conditionalFormatting sqref="D5:F7">
    <cfRule type="cellIs" dxfId="2" priority="1" stopIfTrue="1" operator="between">
      <formula>1</formula>
      <formula>(6+8)/2</formula>
    </cfRule>
    <cfRule type="cellIs" dxfId="1" priority="2" stopIfTrue="1" operator="between">
      <formula>(6+8)/2</formula>
      <formula>(9+12)/2</formula>
    </cfRule>
    <cfRule type="cellIs" dxfId="0" priority="3" stopIfTrue="1" operator="greaterThan">
      <formula>(9+12)/2</formula>
    </cfRule>
  </conditionalFormatting>
  <pageMargins left="0.78749999999999998" right="0.78749999999999998" top="1.0249999999999999" bottom="1.0249999999999999" header="0.78749999999999998" footer="0.78749999999999998"/>
  <pageSetup firstPageNumber="0" orientation="landscape" horizontalDpi="300" verticalDpi="300"/>
  <headerFooter alignWithMargins="0">
    <oddHeader>&amp;L&amp;"Arial,Normal"&amp;F&amp;C&amp;"Arial,Normal"&amp;A</oddHeader>
    <oddFooter>&amp;C&amp;"Arial,Normal"Página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M1:V21"/>
  <sheetViews>
    <sheetView showGridLines="0" topLeftCell="A4" zoomScale="75" zoomScaleNormal="75" workbookViewId="0"/>
  </sheetViews>
  <sheetFormatPr baseColWidth="10" defaultColWidth="10" defaultRowHeight="12.6" x14ac:dyDescent="0.2"/>
  <cols>
    <col min="1" max="1" width="8.26953125" customWidth="1"/>
    <col min="2" max="9" width="8.90625" customWidth="1"/>
    <col min="10" max="10" width="51.90625" customWidth="1"/>
    <col min="11" max="13" width="12.90625" customWidth="1"/>
    <col min="14" max="22" width="23.08984375" customWidth="1"/>
    <col min="23" max="23" width="7.90625" customWidth="1"/>
    <col min="24" max="26" width="22.453125" customWidth="1"/>
  </cols>
  <sheetData>
    <row r="1" spans="13:22" ht="37.799999999999997" x14ac:dyDescent="0.2">
      <c r="M1" s="57" t="s">
        <v>122</v>
      </c>
      <c r="N1" s="58" t="str">
        <f>Analisis_Promedio!$D$4&amp;" / "&amp;Analisis_Promedio!C5</f>
        <v>Criminalidad y Político / Datos e Información</v>
      </c>
      <c r="O1" s="58" t="str">
        <f>Analisis_Promedio!$D$4&amp;" / "&amp;Analisis_Promedio!C6</f>
        <v>Criminalidad y Político / Sistemas e Infraestructura</v>
      </c>
      <c r="P1" s="58" t="str">
        <f>Analisis_Promedio!$D$4&amp;" / "&amp;Analisis_Promedio!C7</f>
        <v>Criminalidad y Político / Personal</v>
      </c>
      <c r="Q1" s="58" t="str">
        <f>Analisis_Promedio!$E$4&amp;" / "&amp;Analisis_Promedio!C5</f>
        <v>Sucesos de origen físico / Datos e Información</v>
      </c>
      <c r="R1" s="58" t="str">
        <f>Analisis_Promedio!$E$4&amp;" / "&amp;Analisis_Promedio!C6</f>
        <v>Sucesos de origen físico / Sistemas e Infraestructura</v>
      </c>
      <c r="S1" s="58" t="str">
        <f>Analisis_Promedio!$E$4&amp;" / "&amp;Analisis_Promedio!C7</f>
        <v>Sucesos de origen físico / Personal</v>
      </c>
      <c r="T1" s="58" t="str">
        <f>Analisis_Promedio!$F$4&amp;" / "&amp;Analisis_Promedio!C5</f>
        <v>Negligencia y Institucional / Datos e Información</v>
      </c>
      <c r="U1" s="58" t="str">
        <f>Analisis_Promedio!$F$4&amp;" / "&amp;Analisis_Promedio!C6</f>
        <v>Negligencia y Institucional / Sistemas e Infraestructura</v>
      </c>
      <c r="V1" s="58" t="str">
        <f>Analisis_Promedio!$F$4&amp;" / "&amp;Analisis_Promedio!C7</f>
        <v>Negligencia y Institucional / Personal</v>
      </c>
    </row>
    <row r="2" spans="13:22" ht="16.649999999999999" customHeight="1" x14ac:dyDescent="0.2">
      <c r="M2" s="57" t="s">
        <v>123</v>
      </c>
      <c r="N2" s="41">
        <f>AVERAGEA('1_Datos'!F4:R4)</f>
        <v>2.7692307692307692</v>
      </c>
      <c r="O2" s="41">
        <f>$N$2</f>
        <v>2.7692307692307692</v>
      </c>
      <c r="P2" s="41">
        <f>$N$2</f>
        <v>2.7692307692307692</v>
      </c>
      <c r="Q2" s="41">
        <f>AVERAGEA('1_Datos'!S4:AA4)</f>
        <v>1.8888888888888888</v>
      </c>
      <c r="R2" s="41">
        <f>$Q$2</f>
        <v>1.8888888888888888</v>
      </c>
      <c r="S2" s="41">
        <f>$Q$2</f>
        <v>1.8888888888888888</v>
      </c>
      <c r="T2" s="41">
        <f>AVERAGEA('1_Datos'!AB4:BA4)</f>
        <v>2.2307692307692308</v>
      </c>
      <c r="U2" s="41">
        <f>$T$2</f>
        <v>2.2307692307692308</v>
      </c>
      <c r="V2" s="41">
        <f>$T$2</f>
        <v>2.2307692307692308</v>
      </c>
    </row>
    <row r="3" spans="13:22" ht="27.9" customHeight="1" x14ac:dyDescent="0.2">
      <c r="M3" s="57" t="s">
        <v>124</v>
      </c>
      <c r="N3" s="41">
        <f>AVERAGEA('1_Datos'!E5:E26)</f>
        <v>2.3636363636363638</v>
      </c>
      <c r="O3" s="41">
        <f>AVERAGEA('2_Sistemas'!E5:E20)</f>
        <v>2.4375</v>
      </c>
      <c r="P3" s="41">
        <f>AVERAGEA('3_Personal'!E5:E16)</f>
        <v>1.8333333333333333</v>
      </c>
      <c r="Q3" s="41">
        <f>$N$3</f>
        <v>2.3636363636363638</v>
      </c>
      <c r="R3" s="41">
        <f>$O$3</f>
        <v>2.4375</v>
      </c>
      <c r="S3" s="41">
        <f>$P$3</f>
        <v>1.8333333333333333</v>
      </c>
      <c r="T3" s="41">
        <f>$N$3</f>
        <v>2.3636363636363638</v>
      </c>
      <c r="U3" s="41">
        <f>$O$3</f>
        <v>2.4375</v>
      </c>
      <c r="V3" s="41">
        <f>$P$3</f>
        <v>1.8333333333333333</v>
      </c>
    </row>
    <row r="4" spans="13:22" ht="43.65" customHeight="1" x14ac:dyDescent="0.2">
      <c r="M4" s="57"/>
      <c r="N4" s="41"/>
      <c r="O4" s="41"/>
      <c r="P4" s="41"/>
      <c r="Q4" s="41"/>
      <c r="R4" s="41"/>
      <c r="S4" s="41"/>
      <c r="T4" s="41"/>
      <c r="U4" s="41"/>
      <c r="V4" s="41"/>
    </row>
    <row r="5" spans="13:22" ht="56.7" customHeight="1" x14ac:dyDescent="0.2">
      <c r="M5" s="57"/>
      <c r="N5" s="41"/>
      <c r="O5" s="41"/>
      <c r="P5" s="41"/>
      <c r="Q5" s="41"/>
      <c r="R5" s="41"/>
      <c r="S5" s="41"/>
      <c r="T5" s="41"/>
      <c r="U5" s="41"/>
      <c r="V5" s="41"/>
    </row>
    <row r="6" spans="13:22" ht="56.7" customHeight="1" x14ac:dyDescent="0.2">
      <c r="M6" s="57"/>
      <c r="N6" s="41"/>
      <c r="O6" s="41"/>
      <c r="P6" s="41"/>
      <c r="Q6" s="41"/>
      <c r="R6" s="41"/>
      <c r="S6" s="41"/>
      <c r="T6" s="41"/>
      <c r="U6" s="41"/>
      <c r="V6" s="41"/>
    </row>
    <row r="7" spans="13:22" ht="56.7" customHeight="1" x14ac:dyDescent="0.2">
      <c r="M7" s="57"/>
      <c r="N7" s="41"/>
      <c r="O7" s="41"/>
      <c r="P7" s="41"/>
      <c r="Q7" s="41"/>
      <c r="R7" s="41"/>
      <c r="S7" s="41"/>
      <c r="T7" s="41"/>
      <c r="U7" s="41"/>
      <c r="V7" s="41"/>
    </row>
    <row r="8" spans="13:22" ht="56.7" customHeight="1" x14ac:dyDescent="0.2">
      <c r="M8" s="57"/>
      <c r="N8" s="41"/>
      <c r="O8" s="41"/>
      <c r="P8" s="41"/>
      <c r="Q8" s="41"/>
      <c r="R8" s="41"/>
      <c r="S8" s="41"/>
      <c r="T8" s="41"/>
      <c r="U8" s="41"/>
      <c r="V8" s="41"/>
    </row>
    <row r="9" spans="13:22" ht="56.7" customHeight="1" x14ac:dyDescent="0.2"/>
    <row r="10" spans="13:22" ht="56.7" customHeight="1" x14ac:dyDescent="0.2"/>
    <row r="11" spans="13:22" ht="56.7" customHeight="1" x14ac:dyDescent="0.2"/>
    <row r="12" spans="13:22" ht="56.7" customHeight="1" x14ac:dyDescent="0.2"/>
    <row r="13" spans="13:22" ht="56.7" customHeight="1" x14ac:dyDescent="0.2"/>
    <row r="14" spans="13:22" ht="12.15" customHeight="1" x14ac:dyDescent="0.2"/>
    <row r="15" spans="13:22" ht="12.15" customHeight="1" x14ac:dyDescent="0.2"/>
    <row r="16" spans="13:22" ht="12.15" customHeight="1" x14ac:dyDescent="0.2"/>
    <row r="17" ht="12.15" customHeight="1" x14ac:dyDescent="0.2"/>
    <row r="18" ht="12.15" customHeight="1" x14ac:dyDescent="0.2"/>
    <row r="19" ht="12.15" customHeight="1" x14ac:dyDescent="0.2"/>
    <row r="20" ht="12.15" customHeight="1" x14ac:dyDescent="0.2"/>
    <row r="21" ht="12.15" customHeight="1" x14ac:dyDescent="0.2"/>
  </sheetData>
  <sheetProtection sheet="1" objects="1" scenarios="1"/>
  <phoneticPr fontId="0" type="noConversion"/>
  <pageMargins left="0.39374999999999999" right="0.39374999999999999" top="0.65902777777777777" bottom="0.65902777777777777" header="0.39374999999999999" footer="0.39374999999999999"/>
  <pageSetup firstPageNumber="0" orientation="landscape" horizontalDpi="300" verticalDpi="300"/>
  <headerFooter alignWithMargins="0">
    <oddHeader>&amp;L&amp;"Arial,Normal"&amp;F&amp;C&amp;"Times New Roman,Normal"&amp;12&amp;A</oddHeader>
    <oddFooter>&amp;C&amp;"Times New Roman,Normal"&amp;12Página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"/>
  <sheetViews>
    <sheetView showGridLines="0" tabSelected="1" zoomScale="55" zoomScaleNormal="55" workbookViewId="0"/>
  </sheetViews>
  <sheetFormatPr baseColWidth="10" defaultColWidth="10" defaultRowHeight="12.6" x14ac:dyDescent="0.2"/>
  <cols>
    <col min="1" max="1" width="11" style="59" customWidth="1"/>
    <col min="2" max="2" width="10" style="59" customWidth="1"/>
    <col min="3" max="3" width="10.36328125" style="59" customWidth="1"/>
    <col min="4" max="4" width="10.90625" style="59" customWidth="1"/>
    <col min="5" max="16384" width="10" style="59"/>
  </cols>
  <sheetData>
    <row r="1" spans="1:8" ht="37.799999999999997" x14ac:dyDescent="0.2">
      <c r="A1" s="60" t="s">
        <v>125</v>
      </c>
      <c r="B1" s="60" t="s">
        <v>126</v>
      </c>
      <c r="C1" s="60" t="s">
        <v>127</v>
      </c>
      <c r="D1" s="60" t="s">
        <v>128</v>
      </c>
      <c r="E1" s="60"/>
      <c r="F1" s="60" t="s">
        <v>129</v>
      </c>
      <c r="G1" s="60" t="s">
        <v>130</v>
      </c>
      <c r="H1" s="60" t="s">
        <v>131</v>
      </c>
    </row>
    <row r="2" spans="1:8" x14ac:dyDescent="0.2">
      <c r="A2" s="61" t="s">
        <v>132</v>
      </c>
      <c r="B2" s="61">
        <v>1</v>
      </c>
      <c r="C2" s="61">
        <v>1</v>
      </c>
      <c r="D2" s="61">
        <v>3</v>
      </c>
      <c r="E2" s="61"/>
      <c r="F2" s="60"/>
      <c r="G2" s="62">
        <f>(D3+C4)/2</f>
        <v>7</v>
      </c>
      <c r="H2" s="62">
        <f>(D4+C5)/2</f>
        <v>10.5</v>
      </c>
    </row>
    <row r="3" spans="1:8" x14ac:dyDescent="0.2">
      <c r="A3" s="61" t="s">
        <v>133</v>
      </c>
      <c r="B3" s="61">
        <v>2</v>
      </c>
      <c r="C3" s="61">
        <v>4</v>
      </c>
      <c r="D3" s="61">
        <v>6</v>
      </c>
      <c r="E3" s="61"/>
      <c r="F3" s="62" t="s">
        <v>134</v>
      </c>
      <c r="G3" s="62" t="s">
        <v>135</v>
      </c>
      <c r="H3" s="62" t="s">
        <v>135</v>
      </c>
    </row>
    <row r="4" spans="1:8" x14ac:dyDescent="0.2">
      <c r="A4" s="61" t="s">
        <v>136</v>
      </c>
      <c r="B4" s="61">
        <v>3</v>
      </c>
      <c r="C4" s="61">
        <v>8</v>
      </c>
      <c r="D4" s="61">
        <v>9</v>
      </c>
      <c r="F4" s="63">
        <v>1</v>
      </c>
      <c r="G4" s="63">
        <f t="shared" ref="G4:H34" si="0">G$2/$F4</f>
        <v>7</v>
      </c>
      <c r="H4" s="63">
        <f t="shared" si="0"/>
        <v>10.5</v>
      </c>
    </row>
    <row r="5" spans="1:8" x14ac:dyDescent="0.2">
      <c r="A5" s="61" t="s">
        <v>137</v>
      </c>
      <c r="B5" s="61">
        <v>4</v>
      </c>
      <c r="C5" s="61">
        <v>12</v>
      </c>
      <c r="D5" s="61">
        <v>16</v>
      </c>
      <c r="F5" s="63">
        <v>1.1000000000000001</v>
      </c>
      <c r="G5" s="63">
        <f t="shared" si="0"/>
        <v>6.3636363636363633</v>
      </c>
      <c r="H5" s="63">
        <f t="shared" si="0"/>
        <v>9.545454545454545</v>
      </c>
    </row>
    <row r="6" spans="1:8" x14ac:dyDescent="0.2">
      <c r="F6" s="63">
        <v>1.2</v>
      </c>
      <c r="G6" s="63">
        <f t="shared" si="0"/>
        <v>5.8333333333333339</v>
      </c>
      <c r="H6" s="63">
        <f t="shared" si="0"/>
        <v>8.75</v>
      </c>
    </row>
    <row r="7" spans="1:8" x14ac:dyDescent="0.2">
      <c r="F7" s="63">
        <v>1.3</v>
      </c>
      <c r="G7" s="63">
        <f t="shared" si="0"/>
        <v>5.3846153846153841</v>
      </c>
      <c r="H7" s="63">
        <f t="shared" si="0"/>
        <v>8.0769230769230766</v>
      </c>
    </row>
    <row r="8" spans="1:8" x14ac:dyDescent="0.2">
      <c r="F8" s="63">
        <v>1.4</v>
      </c>
      <c r="G8" s="63">
        <f t="shared" si="0"/>
        <v>5</v>
      </c>
      <c r="H8" s="63">
        <f t="shared" si="0"/>
        <v>7.5000000000000009</v>
      </c>
    </row>
    <row r="9" spans="1:8" x14ac:dyDescent="0.2">
      <c r="F9" s="63">
        <v>1.5</v>
      </c>
      <c r="G9" s="63">
        <f t="shared" si="0"/>
        <v>4.666666666666667</v>
      </c>
      <c r="H9" s="63">
        <f t="shared" si="0"/>
        <v>7</v>
      </c>
    </row>
    <row r="10" spans="1:8" x14ac:dyDescent="0.2">
      <c r="F10" s="63">
        <v>1.6</v>
      </c>
      <c r="G10" s="63">
        <f t="shared" si="0"/>
        <v>4.375</v>
      </c>
      <c r="H10" s="63">
        <f t="shared" si="0"/>
        <v>6.5625</v>
      </c>
    </row>
    <row r="11" spans="1:8" x14ac:dyDescent="0.2">
      <c r="F11" s="63">
        <v>1.75</v>
      </c>
      <c r="G11" s="64">
        <f t="shared" si="0"/>
        <v>4</v>
      </c>
      <c r="H11" s="63">
        <f t="shared" si="0"/>
        <v>6</v>
      </c>
    </row>
    <row r="12" spans="1:8" x14ac:dyDescent="0.2">
      <c r="F12" s="63">
        <v>1.8</v>
      </c>
      <c r="G12" s="64">
        <f t="shared" si="0"/>
        <v>3.8888888888888888</v>
      </c>
      <c r="H12" s="63">
        <f t="shared" si="0"/>
        <v>5.833333333333333</v>
      </c>
    </row>
    <row r="13" spans="1:8" x14ac:dyDescent="0.2">
      <c r="F13" s="63">
        <v>1.9</v>
      </c>
      <c r="G13" s="64">
        <f t="shared" si="0"/>
        <v>3.6842105263157898</v>
      </c>
      <c r="H13" s="63">
        <f t="shared" si="0"/>
        <v>5.5263157894736841</v>
      </c>
    </row>
    <row r="14" spans="1:8" x14ac:dyDescent="0.2">
      <c r="F14" s="63">
        <v>2</v>
      </c>
      <c r="G14" s="64">
        <f t="shared" si="0"/>
        <v>3.5</v>
      </c>
      <c r="H14" s="63">
        <f t="shared" si="0"/>
        <v>5.25</v>
      </c>
    </row>
    <row r="15" spans="1:8" x14ac:dyDescent="0.2">
      <c r="F15" s="63">
        <v>2.1</v>
      </c>
      <c r="G15" s="64">
        <f t="shared" si="0"/>
        <v>3.333333333333333</v>
      </c>
      <c r="H15" s="63">
        <f t="shared" si="0"/>
        <v>5</v>
      </c>
    </row>
    <row r="16" spans="1:8" x14ac:dyDescent="0.2">
      <c r="F16" s="63">
        <v>2.2000000000000002</v>
      </c>
      <c r="G16" s="64">
        <f t="shared" si="0"/>
        <v>3.1818181818181817</v>
      </c>
      <c r="H16" s="63">
        <f t="shared" si="0"/>
        <v>4.7727272727272725</v>
      </c>
    </row>
    <row r="17" spans="6:8" x14ac:dyDescent="0.2">
      <c r="F17" s="63">
        <v>2.2999999999999998</v>
      </c>
      <c r="G17" s="64">
        <f t="shared" si="0"/>
        <v>3.0434782608695654</v>
      </c>
      <c r="H17" s="63">
        <f t="shared" si="0"/>
        <v>4.5652173913043486</v>
      </c>
    </row>
    <row r="18" spans="6:8" x14ac:dyDescent="0.2">
      <c r="F18" s="63">
        <v>2.4</v>
      </c>
      <c r="G18" s="64">
        <f t="shared" si="0"/>
        <v>2.916666666666667</v>
      </c>
      <c r="H18" s="63">
        <f t="shared" si="0"/>
        <v>4.375</v>
      </c>
    </row>
    <row r="19" spans="6:8" x14ac:dyDescent="0.2">
      <c r="F19" s="63">
        <v>2.5</v>
      </c>
      <c r="G19" s="64">
        <f t="shared" si="0"/>
        <v>2.8</v>
      </c>
      <c r="H19" s="63">
        <f t="shared" si="0"/>
        <v>4.2</v>
      </c>
    </row>
    <row r="20" spans="6:8" x14ac:dyDescent="0.2">
      <c r="F20" s="63">
        <v>2.625</v>
      </c>
      <c r="G20" s="64">
        <f t="shared" si="0"/>
        <v>2.6666666666666665</v>
      </c>
      <c r="H20" s="65">
        <f t="shared" si="0"/>
        <v>4</v>
      </c>
    </row>
    <row r="21" spans="6:8" x14ac:dyDescent="0.2">
      <c r="F21" s="63">
        <v>2.7</v>
      </c>
      <c r="G21" s="64">
        <f t="shared" si="0"/>
        <v>2.5925925925925926</v>
      </c>
      <c r="H21" s="65">
        <f t="shared" si="0"/>
        <v>3.8888888888888888</v>
      </c>
    </row>
    <row r="22" spans="6:8" x14ac:dyDescent="0.2">
      <c r="F22" s="63">
        <v>2.8</v>
      </c>
      <c r="G22" s="64">
        <f t="shared" si="0"/>
        <v>2.5</v>
      </c>
      <c r="H22" s="65">
        <f t="shared" si="0"/>
        <v>3.7500000000000004</v>
      </c>
    </row>
    <row r="23" spans="6:8" x14ac:dyDescent="0.2">
      <c r="F23" s="63">
        <v>2.9</v>
      </c>
      <c r="G23" s="64">
        <f t="shared" si="0"/>
        <v>2.4137931034482758</v>
      </c>
      <c r="H23" s="65">
        <f t="shared" si="0"/>
        <v>3.6206896551724137</v>
      </c>
    </row>
    <row r="24" spans="6:8" x14ac:dyDescent="0.2">
      <c r="F24" s="63">
        <v>3</v>
      </c>
      <c r="G24" s="64">
        <f t="shared" si="0"/>
        <v>2.3333333333333335</v>
      </c>
      <c r="H24" s="65">
        <f t="shared" si="0"/>
        <v>3.5</v>
      </c>
    </row>
    <row r="25" spans="6:8" x14ac:dyDescent="0.2">
      <c r="F25" s="63">
        <v>3.1</v>
      </c>
      <c r="G25" s="64">
        <f t="shared" si="0"/>
        <v>2.258064516129032</v>
      </c>
      <c r="H25" s="65">
        <f t="shared" si="0"/>
        <v>3.3870967741935485</v>
      </c>
    </row>
    <row r="26" spans="6:8" x14ac:dyDescent="0.2">
      <c r="F26" s="63">
        <v>3.2</v>
      </c>
      <c r="G26" s="64">
        <f t="shared" si="0"/>
        <v>2.1875</v>
      </c>
      <c r="H26" s="65">
        <f t="shared" si="0"/>
        <v>3.28125</v>
      </c>
    </row>
    <row r="27" spans="6:8" x14ac:dyDescent="0.2">
      <c r="F27" s="63">
        <v>3.3</v>
      </c>
      <c r="G27" s="64">
        <f t="shared" si="0"/>
        <v>2.1212121212121211</v>
      </c>
      <c r="H27" s="65">
        <f t="shared" si="0"/>
        <v>3.1818181818181821</v>
      </c>
    </row>
    <row r="28" spans="6:8" x14ac:dyDescent="0.2">
      <c r="F28" s="63">
        <v>3.4</v>
      </c>
      <c r="G28" s="64">
        <f t="shared" si="0"/>
        <v>2.0588235294117649</v>
      </c>
      <c r="H28" s="65">
        <f t="shared" si="0"/>
        <v>3.0882352941176472</v>
      </c>
    </row>
    <row r="29" spans="6:8" x14ac:dyDescent="0.2">
      <c r="F29" s="63">
        <v>3.5</v>
      </c>
      <c r="G29" s="64">
        <f t="shared" si="0"/>
        <v>2</v>
      </c>
      <c r="H29" s="65">
        <f t="shared" si="0"/>
        <v>3</v>
      </c>
    </row>
    <row r="30" spans="6:8" x14ac:dyDescent="0.2">
      <c r="F30" s="63">
        <v>3.6</v>
      </c>
      <c r="G30" s="64">
        <f t="shared" si="0"/>
        <v>1.9444444444444444</v>
      </c>
      <c r="H30" s="65">
        <f t="shared" si="0"/>
        <v>2.9166666666666665</v>
      </c>
    </row>
    <row r="31" spans="6:8" x14ac:dyDescent="0.2">
      <c r="F31" s="63">
        <v>3.7</v>
      </c>
      <c r="G31" s="64">
        <f t="shared" si="0"/>
        <v>1.8918918918918919</v>
      </c>
      <c r="H31" s="65">
        <f t="shared" si="0"/>
        <v>2.8378378378378377</v>
      </c>
    </row>
    <row r="32" spans="6:8" x14ac:dyDescent="0.2">
      <c r="F32" s="63">
        <v>3.8</v>
      </c>
      <c r="G32" s="64">
        <f t="shared" si="0"/>
        <v>1.8421052631578949</v>
      </c>
      <c r="H32" s="65">
        <f t="shared" si="0"/>
        <v>2.763157894736842</v>
      </c>
    </row>
    <row r="33" spans="6:8" x14ac:dyDescent="0.2">
      <c r="F33" s="63">
        <v>3.9</v>
      </c>
      <c r="G33" s="64">
        <f t="shared" si="0"/>
        <v>1.7948717948717949</v>
      </c>
      <c r="H33" s="65">
        <f t="shared" si="0"/>
        <v>2.6923076923076925</v>
      </c>
    </row>
    <row r="34" spans="6:8" x14ac:dyDescent="0.2">
      <c r="F34" s="63">
        <v>4</v>
      </c>
      <c r="G34" s="64">
        <f t="shared" si="0"/>
        <v>1.75</v>
      </c>
      <c r="H34" s="65">
        <f t="shared" si="0"/>
        <v>2.625</v>
      </c>
    </row>
  </sheetData>
  <sheetProtection sheet="1"/>
  <phoneticPr fontId="0" type="noConversion"/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 alignWithMargins="0">
    <oddHeader>&amp;C&amp;"Arial,Normal"&amp;A</oddHeader>
    <oddFooter>&amp;C&amp;"Arial,Normal"Page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c90b4a-50d3-44b8-860b-eae1eb70cdf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2D730F7A15C3439D7D5DB308062998" ma:contentTypeVersion="13" ma:contentTypeDescription="Create a new document." ma:contentTypeScope="" ma:versionID="e86d7c456c30c002880a361b4d3f75a8">
  <xsd:schema xmlns:xsd="http://www.w3.org/2001/XMLSchema" xmlns:xs="http://www.w3.org/2001/XMLSchema" xmlns:p="http://schemas.microsoft.com/office/2006/metadata/properties" xmlns:ns3="d5403bec-0d45-4028-822e-a2f6bb3a54c6" xmlns:ns4="35c90b4a-50d3-44b8-860b-eae1eb70cdf2" targetNamespace="http://schemas.microsoft.com/office/2006/metadata/properties" ma:root="true" ma:fieldsID="005ff4f5bf1e0c75775d5a9d0f7bcc0d" ns3:_="" ns4:_="">
    <xsd:import namespace="d5403bec-0d45-4028-822e-a2f6bb3a54c6"/>
    <xsd:import namespace="35c90b4a-50d3-44b8-860b-eae1eb70cdf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DateTaken" minOccurs="0"/>
                <xsd:element ref="ns4:MediaServiceAutoTags" minOccurs="0"/>
                <xsd:element ref="ns4:MediaServiceSearchPropertie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03bec-0d45-4028-822e-a2f6bb3a54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c90b4a-50d3-44b8-860b-eae1eb70cd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B5804D-03CF-443D-9E6E-6570967ED1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2BCF64-537C-416A-B4FE-608A3736B6C8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d5403bec-0d45-4028-822e-a2f6bb3a54c6"/>
    <ds:schemaRef ds:uri="http://schemas.microsoft.com/office/infopath/2007/PartnerControls"/>
    <ds:schemaRef ds:uri="35c90b4a-50d3-44b8-860b-eae1eb70cdf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875E169-C104-470C-AE5C-7870BE495F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403bec-0d45-4028-822e-a2f6bb3a54c6"/>
    <ds:schemaRef ds:uri="35c90b4a-50d3-44b8-860b-eae1eb70cd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1_Datos</vt:lpstr>
      <vt:lpstr>2_Sistemas</vt:lpstr>
      <vt:lpstr>3_Personal</vt:lpstr>
      <vt:lpstr>Analisis_Promedio</vt:lpstr>
      <vt:lpstr>Analisis_Factores</vt:lpstr>
      <vt:lpstr>Fuente</vt:lpstr>
      <vt:lpstr>Escala</vt:lpstr>
      <vt:lpstr>Valor_max</vt:lpstr>
      <vt:lpstr>Valor_min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rpaez</dc:creator>
  <cp:keywords/>
  <dc:description/>
  <cp:lastModifiedBy>Nicolás León Parra</cp:lastModifiedBy>
  <cp:revision/>
  <dcterms:created xsi:type="dcterms:W3CDTF">2015-01-30T22:46:37Z</dcterms:created>
  <dcterms:modified xsi:type="dcterms:W3CDTF">2023-11-06T23:02:51Z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0x010100AB2D730F7A15C3439D7D5DB308062998</vt:lpwstr>
  </property>
</Properties>
</file>